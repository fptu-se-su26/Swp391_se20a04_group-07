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76" windowHeight="4392"/>
  </bookViews>
  <sheets>
    <sheet name="Project" sheetId="1" r:id="rId1"/>
    <sheet name="Iter1" sheetId="2" r:id="rId2"/>
    <sheet name="Iter2" sheetId="3" r:id="rId3"/>
    <sheet name="Iter3" sheetId="4" r:id="rId4"/>
    <sheet name="Iter4" sheetId="5" r:id="rId5"/>
  </sheets>
  <definedNames>
    <definedName name="_xlnm._FilterDatabase" localSheetId="0" hidden="1">Project!$A$3:$E$52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KienNT</author>
  </authors>
  <commentList>
    <comment ref="G5" authorId="0">
      <text>
        <r>
          <rPr>
            <sz val="10"/>
            <rFont val="SimSun"/>
            <charset val="134"/>
          </rPr>
          <t>KienNT:
The name of section in the SRS (software requirement specification) document</t>
        </r>
      </text>
    </comment>
    <comment ref="H5" authorId="0">
      <text>
        <r>
          <rPr>
            <sz val="10"/>
            <rFont val="SimSun"/>
            <charset val="134"/>
          </rPr>
          <t>KienNT:
The name of section in the SDS (software design specification) document</t>
        </r>
      </text>
    </comment>
  </commentList>
</comments>
</file>

<file path=xl/comments2.xml><?xml version="1.0" encoding="utf-8"?>
<comments xmlns="http://schemas.openxmlformats.org/spreadsheetml/2006/main">
  <authors>
    <author>KienNT</author>
  </authors>
  <commentList>
    <comment ref="G5" authorId="0">
      <text>
        <r>
          <rPr>
            <sz val="10"/>
            <rFont val="SimSun"/>
            <charset val="134"/>
          </rPr>
          <t>KienNT:
The name of section in the SRS (software requirement specification) document</t>
        </r>
      </text>
    </comment>
    <comment ref="H5" authorId="0">
      <text>
        <r>
          <rPr>
            <sz val="10"/>
            <rFont val="SimSun"/>
            <charset val="134"/>
          </rPr>
          <t>KienNT:
The name of section in the SDS (software design specification) document</t>
        </r>
      </text>
    </comment>
  </commentList>
</comments>
</file>

<file path=xl/comments3.xml><?xml version="1.0" encoding="utf-8"?>
<comments xmlns="http://schemas.openxmlformats.org/spreadsheetml/2006/main">
  <authors>
    <author>KienNT</author>
  </authors>
  <commentList>
    <comment ref="G5" authorId="0">
      <text>
        <r>
          <rPr>
            <sz val="10"/>
            <rFont val="SimSun"/>
            <charset val="134"/>
          </rPr>
          <t>KienNT:
The name of section in the SRS (software requirement specification) document</t>
        </r>
      </text>
    </comment>
    <comment ref="H5" authorId="0">
      <text>
        <r>
          <rPr>
            <sz val="10"/>
            <rFont val="SimSun"/>
            <charset val="134"/>
          </rPr>
          <t>KienNT:
The name of section in the SDS (software design specification) document</t>
        </r>
      </text>
    </comment>
  </commentList>
</comments>
</file>

<file path=xl/comments4.xml><?xml version="1.0" encoding="utf-8"?>
<comments xmlns="http://schemas.openxmlformats.org/spreadsheetml/2006/main">
  <authors>
    <author>KienNT</author>
  </authors>
  <commentList>
    <comment ref="G5" authorId="0">
      <text>
        <r>
          <rPr>
            <sz val="10"/>
            <rFont val="SimSun"/>
            <charset val="134"/>
          </rPr>
          <t>KienNT:
The name of section in the SRS (software requirement specification) document</t>
        </r>
      </text>
    </comment>
    <comment ref="H5" authorId="0">
      <text>
        <r>
          <rPr>
            <sz val="10"/>
            <rFont val="SimSun"/>
            <charset val="134"/>
          </rPr>
          <t>KienNT:
The name of section in the SDS (software design specification) document</t>
        </r>
      </text>
    </comment>
  </commentList>
</comments>
</file>

<file path=xl/sharedStrings.xml><?xml version="1.0" encoding="utf-8"?>
<sst xmlns="http://schemas.openxmlformats.org/spreadsheetml/2006/main" count="848" uniqueCount="160">
  <si>
    <t>Total Project Tracking</t>
  </si>
  <si>
    <t>Information in the columns A-E are filled in the project initiation; columns F-J to be filled by the end of each development iteration</t>
  </si>
  <si>
    <t>#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</si>
  <si>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</si>
  <si>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</si>
  <si>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</si>
  <si>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</si>
  <si>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</si>
  <si>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</si>
  <si>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</si>
  <si>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</si>
  <si>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</si>
  <si>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>Login</t>
  </si>
  <si>
    <t>Authentication</t>
  </si>
  <si>
    <t>Admin, Parent, Driver</t>
  </si>
  <si>
    <t>Allows a registered user to sign in with email and password; on success the system redirects to the role-specific dashboard.</t>
  </si>
  <si>
    <t>Trần Quốc Huy</t>
  </si>
  <si>
    <t>Done</t>
  </si>
  <si>
    <t>iter1</t>
  </si>
  <si>
    <t>none</t>
  </si>
  <si>
    <t>Register</t>
  </si>
  <si>
    <t>Parent</t>
  </si>
  <si>
    <t>Allows a new parent to self-register an account with full name, email and password before being linked to a student.</t>
  </si>
  <si>
    <t>Logout</t>
  </si>
  <si>
    <t>Invalidates the current session and returns the user to the Login screen.</t>
  </si>
  <si>
    <t>Forgot Password</t>
  </si>
  <si>
    <t>Allows a user to request a password reset email when the current password is forgotten.</t>
  </si>
  <si>
    <t>Change Password</t>
  </si>
  <si>
    <t>Allows a logged-in user to change their current password after verifying the old one.</t>
  </si>
  <si>
    <t>Google Login</t>
  </si>
  <si>
    <t>Allows a user to sign in using their Google account via OAuth callback.</t>
  </si>
  <si>
    <t>Kiều Đình Đức</t>
  </si>
  <si>
    <t>iter2</t>
  </si>
  <si>
    <t>Admin Dashboard</t>
  </si>
  <si>
    <t>Dashboard</t>
  </si>
  <si>
    <t>Admin</t>
  </si>
  <si>
    <t>Displays overall statistics: total students, drivers, vehicles, routes, trips in progress and recent notifications.</t>
  </si>
  <si>
    <t>Driver Dashboard</t>
  </si>
  <si>
    <t>Driver</t>
  </si>
  <si>
    <t>Displays the driver's assigned trips for the day and quick links to attendance and route.</t>
  </si>
  <si>
    <t>Ngô Vương Tùng</t>
  </si>
  <si>
    <t>iter3</t>
  </si>
  <si>
    <t>Parent Dashboard</t>
  </si>
  <si>
    <t>Displays a summary of the parent's linked students, latest attendance and notifications.</t>
  </si>
  <si>
    <t>Huỳnh Thị Thùy Trang</t>
  </si>
  <si>
    <t>Manage Classes</t>
  </si>
  <si>
    <t>Class Management</t>
  </si>
  <si>
    <t>Lists, searches, and manages academic classes that students are grouped into.</t>
  </si>
  <si>
    <t>Add Class</t>
  </si>
  <si>
    <t>Allows the admin to create a new academic class with name, grade level, academic year and teacher.</t>
  </si>
  <si>
    <t>Manage Parent Areas</t>
  </si>
  <si>
    <t>Parent Area Management</t>
  </si>
  <si>
    <t>Lists and manages geographical areas used to group parents, drivers and routes.</t>
  </si>
  <si>
    <t>Manage Parents</t>
  </si>
  <si>
    <t>Parent Management</t>
  </si>
  <si>
    <t>Lists, searches and manages parent accounts and their information.</t>
  </si>
  <si>
    <t>Add Parent</t>
  </si>
  <si>
    <t>Allows the admin to create a new parent account and associated profile.</t>
  </si>
  <si>
    <t>Update Parent</t>
  </si>
  <si>
    <t>Allows the admin to edit an existing parent's profile information.</t>
  </si>
  <si>
    <t>Link Parent to Student</t>
  </si>
  <si>
    <t>Allows the admin to associate an existing parent account with one or more students.</t>
  </si>
  <si>
    <t>Manage Drivers</t>
  </si>
  <si>
    <t>Driver Management</t>
  </si>
  <si>
    <t>Lists, searches and manages driver records including license and assigned vehicle.</t>
  </si>
  <si>
    <t>Đào Hoàng Ân</t>
  </si>
  <si>
    <t>Add Driver</t>
  </si>
  <si>
    <t>Allows the admin to create a new driver account with license number and area.</t>
  </si>
  <si>
    <t>Update Driver</t>
  </si>
  <si>
    <t>Allows the admin to edit an existing driver's information.</t>
  </si>
  <si>
    <t>Delete Driver</t>
  </si>
  <si>
    <t>Allows the admin to remove a driver record from the system.</t>
  </si>
  <si>
    <t>Manage Vehicles</t>
  </si>
  <si>
    <t>Vehicle Management</t>
  </si>
  <si>
    <t>Lists, searches and manages school bus (vehicle) records.</t>
  </si>
  <si>
    <t>Add Vehicle</t>
  </si>
  <si>
    <t>Allows the admin to register a new vehicle with license plate, capacity and status.</t>
  </si>
  <si>
    <t>Update Vehicle</t>
  </si>
  <si>
    <t>Allows the admin to edit an existing vehicle's information.</t>
  </si>
  <si>
    <t>Delete Vehicle</t>
  </si>
  <si>
    <t>Allows the admin to remove a vehicle record from the system.</t>
  </si>
  <si>
    <t>Manage Routes</t>
  </si>
  <si>
    <t>Route Management</t>
  </si>
  <si>
    <t>Lists, searches and manages bus routes, including assigned driver and area.</t>
  </si>
  <si>
    <t>Add Route</t>
  </si>
  <si>
    <t>Allows the admin to create a new route with description, driver and area.</t>
  </si>
  <si>
    <t>Update Route</t>
  </si>
  <si>
    <t>Allows the admin to edit an existing route's information.</t>
  </si>
  <si>
    <t>Manage Students</t>
  </si>
  <si>
    <t>Student Management</t>
  </si>
  <si>
    <t>Lists, searches and manages student records, including class, parent and route assignment.</t>
  </si>
  <si>
    <t>Add Student</t>
  </si>
  <si>
    <t>Allows the admin to add a new student and assign parent, class and route.</t>
  </si>
  <si>
    <t>Update Student</t>
  </si>
  <si>
    <t>Allows the admin to edit an existing student's information.</t>
  </si>
  <si>
    <t>Delete Student</t>
  </si>
  <si>
    <t>Allows the admin to remove a student record from the system.</t>
  </si>
  <si>
    <t>Manage Trips (Admin)</t>
  </si>
  <si>
    <t>Trip Management</t>
  </si>
  <si>
    <t>Lists and monitors all scheduled and in-progress trips across routes.</t>
  </si>
  <si>
    <t>Trip Details (Driver)</t>
  </si>
  <si>
    <t>Shows the driver the details of an assigned trip, including the student list.</t>
  </si>
  <si>
    <t>Start Trip</t>
  </si>
  <si>
    <t>Allows the driver to mark an assigned trip as started, changing its status to In Progress.</t>
  </si>
  <si>
    <t>End Trip</t>
  </si>
  <si>
    <t>Allows the driver to mark an in-progress trip as completed.</t>
  </si>
  <si>
    <t>Driver Route</t>
  </si>
  <si>
    <t>Displays the driver's assigned route with the ordered list of stops.</t>
  </si>
  <si>
    <t>Manage Attendance (Admin)</t>
  </si>
  <si>
    <t>Attendance Management</t>
  </si>
  <si>
    <t>Allows the admin to search and review attendance records recorded by drivers.</t>
  </si>
  <si>
    <t>Record Attendance (Driver)</t>
  </si>
  <si>
    <t>Allows the driver to check-in and check-out students during an active trip.</t>
  </si>
  <si>
    <t>Student Tracking (Parent)</t>
  </si>
  <si>
    <t>Tracking</t>
  </si>
  <si>
    <t>Allows a parent to view the real-time status/location of the bus their child is assigned to.</t>
  </si>
  <si>
    <t>Submit Leave Request (Parent)</t>
  </si>
  <si>
    <t>Leave Request Management</t>
  </si>
  <si>
    <t>Allows a parent to submit an absence/leave request for a student on a given date.</t>
  </si>
  <si>
    <t>Manage Leave Requests (Admin)</t>
  </si>
  <si>
    <t>Allows the admin to review, approve or reject leave requests submitted by parents.</t>
  </si>
  <si>
    <t>View Notifications (Driver)</t>
  </si>
  <si>
    <t>Notification Management</t>
  </si>
  <si>
    <t>Displays notifications relevant to the driver's assigned trips.</t>
  </si>
  <si>
    <t>iter4</t>
  </si>
  <si>
    <t>View Notifications (Parent)</t>
  </si>
  <si>
    <t>Displays notifications relevant to the parent's linked students.</t>
  </si>
  <si>
    <t>Manage Notifications (Admin)</t>
  </si>
  <si>
    <t>Allows the admin to create and broadcast notifications to users.</t>
  </si>
  <si>
    <t>Submit Feedback (Parent)</t>
  </si>
  <si>
    <t>Feedback Management</t>
  </si>
  <si>
    <t>Allows a parent to submit feedback or an inquiry to the school administration.</t>
  </si>
  <si>
    <t>Manage Feedbacks (Admin)</t>
  </si>
  <si>
    <t>Allows the admin to view and respond to feedback submitted by parents.</t>
  </si>
  <si>
    <t>Driver Profile</t>
  </si>
  <si>
    <t>Profile Management</t>
  </si>
  <si>
    <t>Allows the driver to view and update their own profile information.</t>
  </si>
  <si>
    <t>Parent Profile</t>
  </si>
  <si>
    <t>Allows the parent to view and update their own profile information.</t>
  </si>
  <si>
    <t>Reports &amp; Statistics</t>
  </si>
  <si>
    <t>Reporting</t>
  </si>
  <si>
    <t>Allows the admin to generate attendance, route, driver and vehicle reports.</t>
  </si>
  <si>
    <t>Iteration Tracking - Iteration 1</t>
  </si>
  <si>
    <t>Information in the columns A-F must be provided as the planned scope for the iteration</t>
  </si>
  <si>
    <t>Columns B-D are copied from the sheet Product</t>
  </si>
  <si>
    <t>Columns E-J are updated/filled by the end of the iteration</t>
  </si>
  <si>
    <t>Screen / Function</t>
  </si>
  <si>
    <t>SRS</t>
  </si>
  <si>
    <t>SDS</t>
  </si>
  <si>
    <t>Notes</t>
  </si>
  <si>
    <t>II.2</t>
  </si>
  <si>
    <t/>
  </si>
  <si>
    <t>II.3</t>
  </si>
  <si>
    <t>II.4</t>
  </si>
  <si>
    <t>Iteration Tracking - Iteration 2</t>
  </si>
  <si>
    <t>-</t>
  </si>
  <si>
    <t>II.1</t>
  </si>
  <si>
    <t>Iteration Tracking - Iteration 3</t>
  </si>
  <si>
    <t>II.5</t>
  </si>
  <si>
    <t>Iteration Tracking - Iteration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</si>
</sst>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4"/>
      <color rgb="FF000000"/>
      <name val="Arial"/>
      <charset val="134"/>
    </font>
    <font>
      <i/>
      <sz val="10"/>
      <color rgb="FFC0000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sz val="1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8" fillId="0" borderId="0"/>
  </cellStyleXfs>
  <cellXfs count="14">
    <xf numFmtId="0" fontId="0" fillId="0" borderId="0" xfId="0"/>
    <xf numFmtId="0" fontId="1" fillId="0" borderId="0" xfId="49" applyAlignment="1">
      <alignment horizontal="center" vertical="top"/>
    </xf>
    <xf numFmtId="0" fontId="1" fillId="0" borderId="0" xfId="49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49" applyFont="1" applyAlignment="1">
      <alignment horizontal="left" vertical="top"/>
    </xf>
    <xf numFmtId="0" fontId="4" fillId="2" borderId="1" xfId="49" applyFont="1" applyFill="1" applyBorder="1" applyAlignment="1">
      <alignment horizontal="left" vertical="top"/>
    </xf>
    <xf numFmtId="0" fontId="5" fillId="2" borderId="1" xfId="49" applyFont="1" applyFill="1" applyBorder="1" applyAlignment="1">
      <alignment vertical="top"/>
    </xf>
    <xf numFmtId="0" fontId="6" fillId="3" borderId="1" xfId="0" applyFont="1" applyFill="1" applyBorder="1" applyAlignment="1">
      <alignment horizontal="left" vertical="top" wrapText="1"/>
    </xf>
    <xf numFmtId="0" fontId="4" fillId="0" borderId="1" xfId="49" applyFont="1" applyBorder="1" applyAlignment="1">
      <alignment horizontal="center" vertical="top"/>
    </xf>
    <xf numFmtId="0" fontId="4" fillId="0" borderId="1" xfId="49" applyFont="1" applyBorder="1" applyAlignment="1">
      <alignment vertical="top"/>
    </xf>
    <xf numFmtId="0" fontId="4" fillId="0" borderId="1" xfId="49" applyFont="1" applyBorder="1" applyAlignment="1">
      <alignment vertical="top" wrapText="1"/>
    </xf>
    <xf numFmtId="0" fontId="7" fillId="0" borderId="1" xfId="5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2" fillId="0" borderId="0" xfId="49" applyFont="1" applyAlignment="1">
      <alignment horizontal="left" vertical="top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2"/>
  <sheetViews>
    <sheetView tabSelected="1" zoomScale="160" zoomScaleNormal="160" topLeftCell="C1" workbookViewId="0">
      <pane ySplit="3" topLeftCell="A4" activePane="bottomLeft" state="frozen"/>
      <selection/>
      <selection pane="bottomLeft" activeCell="H4" sqref="H4"/>
    </sheetView>
  </sheetViews>
  <sheetFormatPr defaultColWidth="10.7777777777778" defaultRowHeight="13.2"/>
  <cols>
    <col min="1" max="1" width="4" style="1" customWidth="1"/>
    <col min="2" max="2" width="20.4444444444444" style="2" customWidth="1"/>
    <col min="3" max="3" width="13.6666666666667" style="2" customWidth="1"/>
    <col min="4" max="4" width="14.6666666666667" style="2" customWidth="1"/>
    <col min="5" max="5" width="50.6666666666667" style="2" customWidth="1"/>
    <col min="6" max="6" width="9" style="2" customWidth="1"/>
    <col min="7" max="7" width="7.77777777777778" style="2" customWidth="1"/>
    <col min="8" max="9" width="8" style="2" customWidth="1"/>
    <col min="10" max="10" width="45.4444444444444" style="2" customWidth="1"/>
    <col min="11" max="16384" width="10.7777777777778" style="2" customWidth="1"/>
  </cols>
  <sheetData>
    <row r="1" ht="17.4" customHeight="1" spans="1:10">
      <c r="A1" s="13" t="s">
        <v>0</v>
      </c>
    </row>
    <row r="2" spans="1:10">
      <c r="A2" s="4" t="s">
        <v>1</v>
      </c>
    </row>
    <row r="3" spans="1:10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ht="26.4" customHeight="1" spans="1:10">
      <c r="A4" s="8">
        <f t="shared" ref="A4:A52" si="0">ROW()-3</f>
        <v>1</v>
      </c>
      <c r="B4" s="9" t="s">
        <v>12</v>
      </c>
      <c r="C4" s="9" t="s">
        <v>13</v>
      </c>
      <c r="D4" s="9" t="s">
        <v>14</v>
      </c>
      <c r="E4" s="10" t="s">
        <v>15</v>
      </c>
      <c r="F4" s="11" t="s">
        <v>16</v>
      </c>
      <c r="G4" s="9" t="s">
        <v>17</v>
      </c>
      <c r="H4" s="9" t="s">
        <v>18</v>
      </c>
      <c r="I4" s="9" t="s">
        <v>19</v>
      </c>
      <c r="J4" s="9"/>
    </row>
    <row r="5" ht="26.4" customHeight="1" spans="1:10">
      <c r="A5" s="8">
        <f t="shared" si="0"/>
        <v>2</v>
      </c>
      <c r="B5" s="9" t="s">
        <v>20</v>
      </c>
      <c r="C5" s="9" t="s">
        <v>13</v>
      </c>
      <c r="D5" s="9" t="s">
        <v>21</v>
      </c>
      <c r="E5" s="10" t="s">
        <v>22</v>
      </c>
      <c r="F5" s="11" t="s">
        <v>16</v>
      </c>
      <c r="G5" s="9" t="s">
        <v>17</v>
      </c>
      <c r="H5" s="9" t="s">
        <v>18</v>
      </c>
      <c r="I5" s="9" t="s">
        <v>19</v>
      </c>
      <c r="J5" s="9"/>
    </row>
    <row r="6" ht="26.4" customHeight="1" spans="1:10">
      <c r="A6" s="8">
        <f t="shared" si="0"/>
        <v>3</v>
      </c>
      <c r="B6" s="9" t="s">
        <v>23</v>
      </c>
      <c r="C6" s="9" t="s">
        <v>13</v>
      </c>
      <c r="D6" s="9" t="s">
        <v>14</v>
      </c>
      <c r="E6" s="10" t="s">
        <v>24</v>
      </c>
      <c r="F6" s="11" t="s">
        <v>16</v>
      </c>
      <c r="G6" s="9" t="s">
        <v>17</v>
      </c>
      <c r="H6" s="9" t="s">
        <v>18</v>
      </c>
      <c r="I6" s="9" t="s">
        <v>19</v>
      </c>
      <c r="J6" s="9"/>
    </row>
    <row r="7" ht="52.8" customHeight="1" spans="1:10">
      <c r="A7" s="8">
        <f t="shared" si="0"/>
        <v>4</v>
      </c>
      <c r="B7" s="9" t="s">
        <v>25</v>
      </c>
      <c r="C7" s="9" t="s">
        <v>13</v>
      </c>
      <c r="D7" s="9" t="s">
        <v>14</v>
      </c>
      <c r="E7" s="10" t="s">
        <v>26</v>
      </c>
      <c r="F7" s="11" t="s">
        <v>16</v>
      </c>
      <c r="G7" s="9" t="s">
        <v>17</v>
      </c>
      <c r="H7" s="9" t="s">
        <v>18</v>
      </c>
      <c r="I7" s="9" t="s">
        <v>19</v>
      </c>
      <c r="J7" s="9"/>
    </row>
    <row r="8" ht="26.4" spans="1:10">
      <c r="A8" s="8">
        <f t="shared" si="0"/>
        <v>5</v>
      </c>
      <c r="B8" s="9" t="s">
        <v>27</v>
      </c>
      <c r="C8" s="9" t="s">
        <v>13</v>
      </c>
      <c r="D8" s="9" t="s">
        <v>14</v>
      </c>
      <c r="E8" s="10" t="s">
        <v>28</v>
      </c>
      <c r="F8" s="11" t="s">
        <v>16</v>
      </c>
      <c r="G8" s="9" t="s">
        <v>17</v>
      </c>
      <c r="H8" s="9" t="s">
        <v>18</v>
      </c>
      <c r="I8" s="9" t="s">
        <v>19</v>
      </c>
      <c r="J8" s="9"/>
    </row>
    <row r="9" ht="26.4" spans="1:10">
      <c r="A9" s="8">
        <f t="shared" si="0"/>
        <v>6</v>
      </c>
      <c r="B9" s="9" t="s">
        <v>29</v>
      </c>
      <c r="C9" s="9" t="s">
        <v>13</v>
      </c>
      <c r="D9" s="9" t="s">
        <v>21</v>
      </c>
      <c r="E9" s="10" t="s">
        <v>30</v>
      </c>
      <c r="F9" s="11" t="s">
        <v>31</v>
      </c>
      <c r="G9" s="9" t="s">
        <v>17</v>
      </c>
      <c r="H9" s="9" t="s">
        <v>32</v>
      </c>
      <c r="I9" s="9" t="s">
        <v>19</v>
      </c>
      <c r="J9" s="9"/>
    </row>
    <row r="10" ht="26.4" spans="1:10">
      <c r="A10" s="8">
        <f t="shared" si="0"/>
        <v>7</v>
      </c>
      <c r="B10" s="9" t="s">
        <v>33</v>
      </c>
      <c r="C10" s="9" t="s">
        <v>34</v>
      </c>
      <c r="D10" s="9" t="s">
        <v>35</v>
      </c>
      <c r="E10" s="10" t="s">
        <v>36</v>
      </c>
      <c r="F10" s="11" t="s">
        <v>16</v>
      </c>
      <c r="G10" s="9" t="s">
        <v>17</v>
      </c>
      <c r="H10" s="9" t="s">
        <v>32</v>
      </c>
      <c r="I10" s="9" t="s">
        <v>19</v>
      </c>
      <c r="J10" s="9"/>
    </row>
    <row r="11" ht="39.6" spans="1:10">
      <c r="A11" s="8">
        <f t="shared" si="0"/>
        <v>8</v>
      </c>
      <c r="B11" s="9" t="s">
        <v>37</v>
      </c>
      <c r="C11" s="9" t="s">
        <v>34</v>
      </c>
      <c r="D11" s="9" t="s">
        <v>38</v>
      </c>
      <c r="E11" s="10" t="s">
        <v>39</v>
      </c>
      <c r="F11" s="11" t="s">
        <v>40</v>
      </c>
      <c r="G11" s="9" t="s">
        <v>17</v>
      </c>
      <c r="H11" s="9" t="s">
        <v>41</v>
      </c>
      <c r="I11" s="9" t="s">
        <v>19</v>
      </c>
      <c r="J11" s="9"/>
    </row>
    <row r="12" ht="39.6" spans="1:10">
      <c r="A12" s="8">
        <f t="shared" si="0"/>
        <v>9</v>
      </c>
      <c r="B12" s="9" t="s">
        <v>42</v>
      </c>
      <c r="C12" s="9" t="s">
        <v>34</v>
      </c>
      <c r="D12" s="9" t="s">
        <v>21</v>
      </c>
      <c r="E12" s="10" t="s">
        <v>43</v>
      </c>
      <c r="F12" s="11" t="s">
        <v>44</v>
      </c>
      <c r="G12" s="9" t="s">
        <v>17</v>
      </c>
      <c r="H12" s="9" t="s">
        <v>41</v>
      </c>
      <c r="I12" s="9" t="s">
        <v>19</v>
      </c>
      <c r="J12" s="9"/>
    </row>
    <row r="13" ht="26.4" spans="1:10">
      <c r="A13" s="8">
        <f t="shared" si="0"/>
        <v>10</v>
      </c>
      <c r="B13" s="9" t="s">
        <v>45</v>
      </c>
      <c r="C13" s="9" t="s">
        <v>46</v>
      </c>
      <c r="D13" s="9" t="s">
        <v>35</v>
      </c>
      <c r="E13" s="10" t="s">
        <v>47</v>
      </c>
      <c r="F13" s="11" t="s">
        <v>31</v>
      </c>
      <c r="G13" s="9" t="s">
        <v>17</v>
      </c>
      <c r="H13" s="9" t="s">
        <v>18</v>
      </c>
      <c r="I13" s="9" t="s">
        <v>19</v>
      </c>
      <c r="J13" s="9"/>
    </row>
    <row r="14" ht="26.4" spans="1:10">
      <c r="A14" s="8">
        <f t="shared" si="0"/>
        <v>11</v>
      </c>
      <c r="B14" s="9" t="s">
        <v>48</v>
      </c>
      <c r="C14" s="9" t="s">
        <v>46</v>
      </c>
      <c r="D14" s="9" t="s">
        <v>35</v>
      </c>
      <c r="E14" s="10" t="s">
        <v>49</v>
      </c>
      <c r="F14" s="11" t="s">
        <v>31</v>
      </c>
      <c r="G14" s="9" t="s">
        <v>17</v>
      </c>
      <c r="H14" s="9" t="s">
        <v>18</v>
      </c>
      <c r="I14" s="9" t="s">
        <v>19</v>
      </c>
      <c r="J14" s="9"/>
    </row>
    <row r="15" ht="26.4" spans="1:10">
      <c r="A15" s="8">
        <f t="shared" si="0"/>
        <v>12</v>
      </c>
      <c r="B15" s="9" t="s">
        <v>50</v>
      </c>
      <c r="C15" s="9" t="s">
        <v>51</v>
      </c>
      <c r="D15" s="9" t="s">
        <v>35</v>
      </c>
      <c r="E15" s="10" t="s">
        <v>52</v>
      </c>
      <c r="F15" s="11" t="s">
        <v>31</v>
      </c>
      <c r="G15" s="9" t="s">
        <v>17</v>
      </c>
      <c r="H15" s="9" t="s">
        <v>18</v>
      </c>
      <c r="I15" s="9" t="s">
        <v>19</v>
      </c>
      <c r="J15" s="9"/>
    </row>
    <row r="16" ht="26.4" spans="1:10">
      <c r="A16" s="8">
        <f t="shared" si="0"/>
        <v>13</v>
      </c>
      <c r="B16" s="9" t="s">
        <v>53</v>
      </c>
      <c r="C16" s="9" t="s">
        <v>54</v>
      </c>
      <c r="D16" s="9" t="s">
        <v>35</v>
      </c>
      <c r="E16" s="10" t="s">
        <v>55</v>
      </c>
      <c r="F16" s="11" t="s">
        <v>31</v>
      </c>
      <c r="G16" s="9" t="s">
        <v>17</v>
      </c>
      <c r="H16" s="9" t="s">
        <v>32</v>
      </c>
      <c r="I16" s="9" t="s">
        <v>19</v>
      </c>
      <c r="J16" s="9"/>
    </row>
    <row r="17" ht="26.4" spans="1:10">
      <c r="A17" s="8">
        <f t="shared" si="0"/>
        <v>14</v>
      </c>
      <c r="B17" s="9" t="s">
        <v>56</v>
      </c>
      <c r="C17" s="9" t="s">
        <v>54</v>
      </c>
      <c r="D17" s="9" t="s">
        <v>35</v>
      </c>
      <c r="E17" s="10" t="s">
        <v>57</v>
      </c>
      <c r="F17" s="11" t="s">
        <v>31</v>
      </c>
      <c r="G17" s="9" t="s">
        <v>17</v>
      </c>
      <c r="H17" s="9" t="s">
        <v>32</v>
      </c>
      <c r="I17" s="9" t="s">
        <v>19</v>
      </c>
      <c r="J17" s="9"/>
    </row>
    <row r="18" ht="26.4" spans="1:10">
      <c r="A18" s="8">
        <f t="shared" si="0"/>
        <v>15</v>
      </c>
      <c r="B18" s="9" t="s">
        <v>58</v>
      </c>
      <c r="C18" s="9" t="s">
        <v>54</v>
      </c>
      <c r="D18" s="9" t="s">
        <v>35</v>
      </c>
      <c r="E18" s="10" t="s">
        <v>59</v>
      </c>
      <c r="F18" s="11" t="s">
        <v>31</v>
      </c>
      <c r="G18" s="9" t="s">
        <v>17</v>
      </c>
      <c r="H18" s="9" t="s">
        <v>32</v>
      </c>
      <c r="I18" s="9" t="s">
        <v>19</v>
      </c>
      <c r="J18" s="9"/>
    </row>
    <row r="19" ht="26.4" spans="1:10">
      <c r="A19" s="8">
        <f t="shared" si="0"/>
        <v>16</v>
      </c>
      <c r="B19" s="9" t="s">
        <v>60</v>
      </c>
      <c r="C19" s="9" t="s">
        <v>54</v>
      </c>
      <c r="D19" s="9" t="s">
        <v>35</v>
      </c>
      <c r="E19" s="10" t="s">
        <v>61</v>
      </c>
      <c r="F19" s="11" t="s">
        <v>31</v>
      </c>
      <c r="G19" s="9" t="s">
        <v>17</v>
      </c>
      <c r="H19" s="9" t="s">
        <v>32</v>
      </c>
      <c r="I19" s="9" t="s">
        <v>19</v>
      </c>
      <c r="J19" s="9"/>
    </row>
    <row r="20" ht="26.4" spans="1:10">
      <c r="A20" s="8">
        <f t="shared" si="0"/>
        <v>17</v>
      </c>
      <c r="B20" s="9" t="s">
        <v>62</v>
      </c>
      <c r="C20" s="9" t="s">
        <v>63</v>
      </c>
      <c r="D20" s="9" t="s">
        <v>35</v>
      </c>
      <c r="E20" s="10" t="s">
        <v>64</v>
      </c>
      <c r="F20" s="11" t="s">
        <v>65</v>
      </c>
      <c r="G20" s="9" t="s">
        <v>17</v>
      </c>
      <c r="H20" s="9" t="s">
        <v>32</v>
      </c>
      <c r="I20" s="9" t="s">
        <v>19</v>
      </c>
      <c r="J20" s="9"/>
    </row>
    <row r="21" ht="26.4" spans="1:10">
      <c r="A21" s="8">
        <f t="shared" si="0"/>
        <v>18</v>
      </c>
      <c r="B21" s="9" t="s">
        <v>66</v>
      </c>
      <c r="C21" s="9" t="s">
        <v>63</v>
      </c>
      <c r="D21" s="9" t="s">
        <v>35</v>
      </c>
      <c r="E21" s="10" t="s">
        <v>67</v>
      </c>
      <c r="F21" s="11" t="s">
        <v>65</v>
      </c>
      <c r="G21" s="9" t="s">
        <v>17</v>
      </c>
      <c r="H21" s="9" t="s">
        <v>32</v>
      </c>
      <c r="I21" s="9" t="s">
        <v>19</v>
      </c>
      <c r="J21" s="9"/>
    </row>
    <row r="22" ht="26.4" spans="1:10">
      <c r="A22" s="8">
        <f t="shared" si="0"/>
        <v>19</v>
      </c>
      <c r="B22" s="9" t="s">
        <v>68</v>
      </c>
      <c r="C22" s="9" t="s">
        <v>63</v>
      </c>
      <c r="D22" s="9" t="s">
        <v>35</v>
      </c>
      <c r="E22" s="10" t="s">
        <v>69</v>
      </c>
      <c r="F22" s="11" t="s">
        <v>65</v>
      </c>
      <c r="G22" s="9" t="s">
        <v>17</v>
      </c>
      <c r="H22" s="9" t="s">
        <v>32</v>
      </c>
      <c r="I22" s="9" t="s">
        <v>19</v>
      </c>
      <c r="J22" s="9"/>
    </row>
    <row r="23" ht="26.4" spans="1:10">
      <c r="A23" s="8">
        <f t="shared" si="0"/>
        <v>20</v>
      </c>
      <c r="B23" s="9" t="s">
        <v>70</v>
      </c>
      <c r="C23" s="9" t="s">
        <v>63</v>
      </c>
      <c r="D23" s="9" t="s">
        <v>35</v>
      </c>
      <c r="E23" s="10" t="s">
        <v>71</v>
      </c>
      <c r="F23" s="11" t="s">
        <v>65</v>
      </c>
      <c r="G23" s="9" t="s">
        <v>17</v>
      </c>
      <c r="H23" s="9" t="s">
        <v>32</v>
      </c>
      <c r="I23" s="9" t="s">
        <v>19</v>
      </c>
      <c r="J23" s="9"/>
    </row>
    <row r="24" ht="26.4" spans="1:10">
      <c r="A24" s="8">
        <f t="shared" si="0"/>
        <v>21</v>
      </c>
      <c r="B24" s="9" t="s">
        <v>72</v>
      </c>
      <c r="C24" s="9" t="s">
        <v>73</v>
      </c>
      <c r="D24" s="9" t="s">
        <v>35</v>
      </c>
      <c r="E24" s="10" t="s">
        <v>74</v>
      </c>
      <c r="F24" s="11" t="s">
        <v>65</v>
      </c>
      <c r="G24" s="9" t="s">
        <v>17</v>
      </c>
      <c r="H24" s="9" t="s">
        <v>32</v>
      </c>
      <c r="I24" s="9" t="s">
        <v>19</v>
      </c>
      <c r="J24" s="9"/>
    </row>
    <row r="25" ht="26.4" spans="1:10">
      <c r="A25" s="8">
        <f t="shared" si="0"/>
        <v>22</v>
      </c>
      <c r="B25" s="9" t="s">
        <v>75</v>
      </c>
      <c r="C25" s="9" t="s">
        <v>73</v>
      </c>
      <c r="D25" s="9" t="s">
        <v>35</v>
      </c>
      <c r="E25" s="10" t="s">
        <v>76</v>
      </c>
      <c r="F25" s="11" t="s">
        <v>65</v>
      </c>
      <c r="G25" s="9" t="s">
        <v>17</v>
      </c>
      <c r="H25" s="9" t="s">
        <v>32</v>
      </c>
      <c r="I25" s="9" t="s">
        <v>19</v>
      </c>
      <c r="J25" s="9"/>
    </row>
    <row r="26" ht="26.4" spans="1:10">
      <c r="A26" s="8">
        <f t="shared" si="0"/>
        <v>23</v>
      </c>
      <c r="B26" s="9" t="s">
        <v>77</v>
      </c>
      <c r="C26" s="9" t="s">
        <v>73</v>
      </c>
      <c r="D26" s="9" t="s">
        <v>35</v>
      </c>
      <c r="E26" s="10" t="s">
        <v>78</v>
      </c>
      <c r="F26" s="11" t="s">
        <v>65</v>
      </c>
      <c r="G26" s="9" t="s">
        <v>17</v>
      </c>
      <c r="H26" s="9" t="s">
        <v>32</v>
      </c>
      <c r="I26" s="9" t="s">
        <v>19</v>
      </c>
      <c r="J26" s="9"/>
    </row>
    <row r="27" ht="26.4" spans="1:10">
      <c r="A27" s="8">
        <f t="shared" si="0"/>
        <v>24</v>
      </c>
      <c r="B27" s="9" t="s">
        <v>79</v>
      </c>
      <c r="C27" s="9" t="s">
        <v>73</v>
      </c>
      <c r="D27" s="9" t="s">
        <v>35</v>
      </c>
      <c r="E27" s="10" t="s">
        <v>80</v>
      </c>
      <c r="F27" s="11" t="s">
        <v>65</v>
      </c>
      <c r="G27" s="9" t="s">
        <v>17</v>
      </c>
      <c r="H27" s="9" t="s">
        <v>32</v>
      </c>
      <c r="I27" s="9" t="s">
        <v>19</v>
      </c>
      <c r="J27" s="9"/>
    </row>
    <row r="28" ht="39.6" spans="1:10">
      <c r="A28" s="8">
        <f t="shared" si="0"/>
        <v>25</v>
      </c>
      <c r="B28" s="9" t="s">
        <v>81</v>
      </c>
      <c r="C28" s="9" t="s">
        <v>82</v>
      </c>
      <c r="D28" s="9" t="s">
        <v>35</v>
      </c>
      <c r="E28" s="10" t="s">
        <v>83</v>
      </c>
      <c r="F28" s="11" t="s">
        <v>40</v>
      </c>
      <c r="G28" s="9" t="s">
        <v>17</v>
      </c>
      <c r="H28" s="9" t="s">
        <v>32</v>
      </c>
      <c r="I28" s="9" t="s">
        <v>19</v>
      </c>
      <c r="J28" s="9"/>
    </row>
    <row r="29" ht="39.6" spans="1:10">
      <c r="A29" s="8">
        <f t="shared" si="0"/>
        <v>26</v>
      </c>
      <c r="B29" s="9" t="s">
        <v>84</v>
      </c>
      <c r="C29" s="9" t="s">
        <v>82</v>
      </c>
      <c r="D29" s="9" t="s">
        <v>35</v>
      </c>
      <c r="E29" s="10" t="s">
        <v>85</v>
      </c>
      <c r="F29" s="11" t="s">
        <v>40</v>
      </c>
      <c r="G29" s="9" t="s">
        <v>17</v>
      </c>
      <c r="H29" s="9" t="s">
        <v>32</v>
      </c>
      <c r="I29" s="9" t="s">
        <v>19</v>
      </c>
      <c r="J29" s="9"/>
    </row>
    <row r="30" ht="39.6" spans="1:10">
      <c r="A30" s="8">
        <f t="shared" si="0"/>
        <v>27</v>
      </c>
      <c r="B30" s="9" t="s">
        <v>86</v>
      </c>
      <c r="C30" s="9" t="s">
        <v>82</v>
      </c>
      <c r="D30" s="9" t="s">
        <v>35</v>
      </c>
      <c r="E30" s="10" t="s">
        <v>87</v>
      </c>
      <c r="F30" s="11" t="s">
        <v>40</v>
      </c>
      <c r="G30" s="9" t="s">
        <v>17</v>
      </c>
      <c r="H30" s="9" t="s">
        <v>32</v>
      </c>
      <c r="I30" s="9" t="s">
        <v>19</v>
      </c>
      <c r="J30" s="9"/>
    </row>
    <row r="31" ht="39.6" spans="1:10">
      <c r="A31" s="8">
        <f t="shared" si="0"/>
        <v>28</v>
      </c>
      <c r="B31" s="9" t="s">
        <v>88</v>
      </c>
      <c r="C31" s="9" t="s">
        <v>89</v>
      </c>
      <c r="D31" s="9" t="s">
        <v>35</v>
      </c>
      <c r="E31" s="10" t="s">
        <v>90</v>
      </c>
      <c r="F31" s="11" t="s">
        <v>44</v>
      </c>
      <c r="G31" s="9" t="s">
        <v>17</v>
      </c>
      <c r="H31" s="9" t="s">
        <v>32</v>
      </c>
      <c r="I31" s="9" t="s">
        <v>19</v>
      </c>
      <c r="J31" s="9"/>
    </row>
    <row r="32" ht="39.6" spans="1:10">
      <c r="A32" s="8">
        <f t="shared" si="0"/>
        <v>29</v>
      </c>
      <c r="B32" s="9" t="s">
        <v>91</v>
      </c>
      <c r="C32" s="9" t="s">
        <v>89</v>
      </c>
      <c r="D32" s="9" t="s">
        <v>35</v>
      </c>
      <c r="E32" s="10" t="s">
        <v>92</v>
      </c>
      <c r="F32" s="11" t="s">
        <v>44</v>
      </c>
      <c r="G32" s="9" t="s">
        <v>17</v>
      </c>
      <c r="H32" s="9" t="s">
        <v>32</v>
      </c>
      <c r="I32" s="9" t="s">
        <v>19</v>
      </c>
      <c r="J32" s="9"/>
    </row>
    <row r="33" ht="39.6" spans="1:10">
      <c r="A33" s="8">
        <f t="shared" si="0"/>
        <v>30</v>
      </c>
      <c r="B33" s="9" t="s">
        <v>93</v>
      </c>
      <c r="C33" s="9" t="s">
        <v>89</v>
      </c>
      <c r="D33" s="9" t="s">
        <v>35</v>
      </c>
      <c r="E33" s="10" t="s">
        <v>94</v>
      </c>
      <c r="F33" s="11" t="s">
        <v>44</v>
      </c>
      <c r="G33" s="9" t="s">
        <v>17</v>
      </c>
      <c r="H33" s="9" t="s">
        <v>32</v>
      </c>
      <c r="I33" s="9" t="s">
        <v>19</v>
      </c>
      <c r="J33" s="9"/>
    </row>
    <row r="34" ht="39.6" spans="1:10">
      <c r="A34" s="8">
        <f t="shared" si="0"/>
        <v>31</v>
      </c>
      <c r="B34" s="9" t="s">
        <v>95</v>
      </c>
      <c r="C34" s="9" t="s">
        <v>89</v>
      </c>
      <c r="D34" s="9" t="s">
        <v>35</v>
      </c>
      <c r="E34" s="10" t="s">
        <v>96</v>
      </c>
      <c r="F34" s="11" t="s">
        <v>44</v>
      </c>
      <c r="G34" s="9" t="s">
        <v>17</v>
      </c>
      <c r="H34" s="9" t="s">
        <v>32</v>
      </c>
      <c r="I34" s="9" t="s">
        <v>19</v>
      </c>
      <c r="J34" s="9"/>
    </row>
    <row r="35" ht="39.6" spans="1:10">
      <c r="A35" s="8">
        <f t="shared" si="0"/>
        <v>32</v>
      </c>
      <c r="B35" s="9" t="s">
        <v>97</v>
      </c>
      <c r="C35" s="9" t="s">
        <v>98</v>
      </c>
      <c r="D35" s="9" t="s">
        <v>35</v>
      </c>
      <c r="E35" s="10" t="s">
        <v>99</v>
      </c>
      <c r="F35" s="11" t="s">
        <v>40</v>
      </c>
      <c r="G35" s="9" t="s">
        <v>17</v>
      </c>
      <c r="H35" s="9" t="s">
        <v>41</v>
      </c>
      <c r="I35" s="9" t="s">
        <v>19</v>
      </c>
      <c r="J35" s="9"/>
    </row>
    <row r="36" ht="39.6" spans="1:10">
      <c r="A36" s="8">
        <f t="shared" si="0"/>
        <v>33</v>
      </c>
      <c r="B36" s="9" t="s">
        <v>100</v>
      </c>
      <c r="C36" s="9" t="s">
        <v>98</v>
      </c>
      <c r="D36" s="9" t="s">
        <v>38</v>
      </c>
      <c r="E36" s="10" t="s">
        <v>101</v>
      </c>
      <c r="F36" s="11" t="s">
        <v>40</v>
      </c>
      <c r="G36" s="9" t="s">
        <v>17</v>
      </c>
      <c r="H36" s="9" t="s">
        <v>41</v>
      </c>
      <c r="I36" s="9" t="s">
        <v>19</v>
      </c>
      <c r="J36" s="9"/>
    </row>
    <row r="37" ht="39.6" spans="1:10">
      <c r="A37" s="8">
        <f t="shared" si="0"/>
        <v>34</v>
      </c>
      <c r="B37" s="9" t="s">
        <v>102</v>
      </c>
      <c r="C37" s="9" t="s">
        <v>98</v>
      </c>
      <c r="D37" s="9" t="s">
        <v>38</v>
      </c>
      <c r="E37" s="10" t="s">
        <v>103</v>
      </c>
      <c r="F37" s="11" t="s">
        <v>40</v>
      </c>
      <c r="G37" s="9" t="s">
        <v>17</v>
      </c>
      <c r="H37" s="9" t="s">
        <v>41</v>
      </c>
      <c r="I37" s="9" t="s">
        <v>19</v>
      </c>
      <c r="J37" s="9"/>
    </row>
    <row r="38" ht="39.6" spans="1:10">
      <c r="A38" s="8">
        <f t="shared" si="0"/>
        <v>35</v>
      </c>
      <c r="B38" s="9" t="s">
        <v>104</v>
      </c>
      <c r="C38" s="9" t="s">
        <v>98</v>
      </c>
      <c r="D38" s="9" t="s">
        <v>38</v>
      </c>
      <c r="E38" s="10" t="s">
        <v>105</v>
      </c>
      <c r="F38" s="11" t="s">
        <v>40</v>
      </c>
      <c r="G38" s="9" t="s">
        <v>17</v>
      </c>
      <c r="H38" s="9" t="s">
        <v>41</v>
      </c>
      <c r="I38" s="9" t="s">
        <v>19</v>
      </c>
      <c r="J38" s="9"/>
    </row>
    <row r="39" ht="39.6" spans="1:10">
      <c r="A39" s="8">
        <f t="shared" si="0"/>
        <v>36</v>
      </c>
      <c r="B39" s="9" t="s">
        <v>106</v>
      </c>
      <c r="C39" s="9" t="s">
        <v>98</v>
      </c>
      <c r="D39" s="9" t="s">
        <v>38</v>
      </c>
      <c r="E39" s="10" t="s">
        <v>107</v>
      </c>
      <c r="F39" s="11" t="s">
        <v>40</v>
      </c>
      <c r="G39" s="9" t="s">
        <v>17</v>
      </c>
      <c r="H39" s="9" t="s">
        <v>41</v>
      </c>
      <c r="I39" s="9" t="s">
        <v>19</v>
      </c>
      <c r="J39" s="9"/>
    </row>
    <row r="40" ht="39.6" spans="1:10">
      <c r="A40" s="8">
        <f t="shared" si="0"/>
        <v>37</v>
      </c>
      <c r="B40" s="9" t="s">
        <v>108</v>
      </c>
      <c r="C40" s="9" t="s">
        <v>109</v>
      </c>
      <c r="D40" s="9" t="s">
        <v>35</v>
      </c>
      <c r="E40" s="10" t="s">
        <v>110</v>
      </c>
      <c r="F40" s="11" t="s">
        <v>44</v>
      </c>
      <c r="G40" s="9" t="s">
        <v>17</v>
      </c>
      <c r="H40" s="9" t="s">
        <v>41</v>
      </c>
      <c r="I40" s="9" t="s">
        <v>19</v>
      </c>
      <c r="J40" s="9"/>
    </row>
    <row r="41" ht="39.6" spans="1:10">
      <c r="A41" s="8">
        <f t="shared" si="0"/>
        <v>38</v>
      </c>
      <c r="B41" s="9" t="s">
        <v>111</v>
      </c>
      <c r="C41" s="9" t="s">
        <v>109</v>
      </c>
      <c r="D41" s="9" t="s">
        <v>38</v>
      </c>
      <c r="E41" s="10" t="s">
        <v>112</v>
      </c>
      <c r="F41" s="11" t="s">
        <v>44</v>
      </c>
      <c r="G41" s="9" t="s">
        <v>17</v>
      </c>
      <c r="H41" s="9" t="s">
        <v>41</v>
      </c>
      <c r="I41" s="9" t="s">
        <v>19</v>
      </c>
      <c r="J41" s="9"/>
    </row>
    <row r="42" ht="26.4" spans="1:10">
      <c r="A42" s="8">
        <f t="shared" si="0"/>
        <v>39</v>
      </c>
      <c r="B42" s="9" t="s">
        <v>113</v>
      </c>
      <c r="C42" s="9" t="s">
        <v>114</v>
      </c>
      <c r="D42" s="9" t="s">
        <v>21</v>
      </c>
      <c r="E42" s="10" t="s">
        <v>115</v>
      </c>
      <c r="F42" s="11" t="s">
        <v>65</v>
      </c>
      <c r="G42" s="9" t="s">
        <v>17</v>
      </c>
      <c r="H42" s="9" t="s">
        <v>41</v>
      </c>
      <c r="I42" s="9" t="s">
        <v>19</v>
      </c>
      <c r="J42" s="9"/>
    </row>
    <row r="43" ht="26.4" spans="1:10">
      <c r="A43" s="8">
        <f t="shared" si="0"/>
        <v>40</v>
      </c>
      <c r="B43" s="9" t="s">
        <v>116</v>
      </c>
      <c r="C43" s="9" t="s">
        <v>117</v>
      </c>
      <c r="D43" s="9" t="s">
        <v>21</v>
      </c>
      <c r="E43" s="10" t="s">
        <v>118</v>
      </c>
      <c r="F43" s="11" t="s">
        <v>65</v>
      </c>
      <c r="G43" s="9" t="s">
        <v>17</v>
      </c>
      <c r="H43" s="9" t="s">
        <v>41</v>
      </c>
      <c r="I43" s="9" t="s">
        <v>19</v>
      </c>
      <c r="J43" s="9"/>
    </row>
    <row r="44" ht="26.4" spans="1:10">
      <c r="A44" s="8">
        <f t="shared" si="0"/>
        <v>41</v>
      </c>
      <c r="B44" s="9" t="s">
        <v>119</v>
      </c>
      <c r="C44" s="9" t="s">
        <v>117</v>
      </c>
      <c r="D44" s="9" t="s">
        <v>35</v>
      </c>
      <c r="E44" s="10" t="s">
        <v>120</v>
      </c>
      <c r="F44" s="11" t="s">
        <v>65</v>
      </c>
      <c r="G44" s="9" t="s">
        <v>17</v>
      </c>
      <c r="H44" s="9" t="s">
        <v>41</v>
      </c>
      <c r="I44" s="9" t="s">
        <v>19</v>
      </c>
      <c r="J44" s="9"/>
    </row>
    <row r="45" ht="26.4" spans="1:10">
      <c r="A45" s="8">
        <f t="shared" si="0"/>
        <v>42</v>
      </c>
      <c r="B45" s="9" t="s">
        <v>121</v>
      </c>
      <c r="C45" s="9" t="s">
        <v>122</v>
      </c>
      <c r="D45" s="9" t="s">
        <v>38</v>
      </c>
      <c r="E45" s="10" t="s">
        <v>123</v>
      </c>
      <c r="F45" s="11" t="s">
        <v>16</v>
      </c>
      <c r="G45" s="9" t="s">
        <v>17</v>
      </c>
      <c r="H45" s="9" t="s">
        <v>124</v>
      </c>
      <c r="I45" s="9" t="s">
        <v>19</v>
      </c>
      <c r="J45" s="9"/>
    </row>
    <row r="46" ht="26.4" spans="1:10">
      <c r="A46" s="8">
        <f t="shared" si="0"/>
        <v>43</v>
      </c>
      <c r="B46" s="9" t="s">
        <v>125</v>
      </c>
      <c r="C46" s="9" t="s">
        <v>122</v>
      </c>
      <c r="D46" s="9" t="s">
        <v>21</v>
      </c>
      <c r="E46" s="10" t="s">
        <v>126</v>
      </c>
      <c r="F46" s="11" t="s">
        <v>16</v>
      </c>
      <c r="G46" s="9" t="s">
        <v>17</v>
      </c>
      <c r="H46" s="9" t="s">
        <v>124</v>
      </c>
      <c r="I46" s="9" t="s">
        <v>19</v>
      </c>
      <c r="J46" s="9"/>
    </row>
    <row r="47" ht="26.4" spans="1:10">
      <c r="A47" s="8">
        <f t="shared" si="0"/>
        <v>44</v>
      </c>
      <c r="B47" s="9" t="s">
        <v>127</v>
      </c>
      <c r="C47" s="9" t="s">
        <v>122</v>
      </c>
      <c r="D47" s="9" t="s">
        <v>35</v>
      </c>
      <c r="E47" s="10" t="s">
        <v>128</v>
      </c>
      <c r="F47" s="11" t="s">
        <v>16</v>
      </c>
      <c r="G47" s="9" t="s">
        <v>17</v>
      </c>
      <c r="H47" s="9" t="s">
        <v>124</v>
      </c>
      <c r="I47" s="9" t="s">
        <v>19</v>
      </c>
      <c r="J47" s="9"/>
    </row>
    <row r="48" ht="26.4" spans="1:10">
      <c r="A48" s="8">
        <f t="shared" si="0"/>
        <v>45</v>
      </c>
      <c r="B48" s="9" t="s">
        <v>129</v>
      </c>
      <c r="C48" s="9" t="s">
        <v>130</v>
      </c>
      <c r="D48" s="9" t="s">
        <v>21</v>
      </c>
      <c r="E48" s="10" t="s">
        <v>131</v>
      </c>
      <c r="F48" s="11" t="s">
        <v>31</v>
      </c>
      <c r="G48" s="9" t="s">
        <v>17</v>
      </c>
      <c r="H48" s="9" t="s">
        <v>124</v>
      </c>
      <c r="I48" s="9" t="s">
        <v>19</v>
      </c>
      <c r="J48" s="9"/>
    </row>
    <row r="49" ht="26.4" spans="1:10">
      <c r="A49" s="8">
        <f t="shared" si="0"/>
        <v>46</v>
      </c>
      <c r="B49" s="9" t="s">
        <v>132</v>
      </c>
      <c r="C49" s="9" t="s">
        <v>130</v>
      </c>
      <c r="D49" s="9" t="s">
        <v>35</v>
      </c>
      <c r="E49" s="10" t="s">
        <v>133</v>
      </c>
      <c r="F49" s="11" t="s">
        <v>31</v>
      </c>
      <c r="G49" s="9" t="s">
        <v>17</v>
      </c>
      <c r="H49" s="9" t="s">
        <v>124</v>
      </c>
      <c r="I49" s="9" t="s">
        <v>19</v>
      </c>
      <c r="J49" s="9"/>
    </row>
    <row r="50" ht="39.6" spans="1:10">
      <c r="A50" s="8">
        <f t="shared" si="0"/>
        <v>47</v>
      </c>
      <c r="B50" s="9" t="s">
        <v>134</v>
      </c>
      <c r="C50" s="9" t="s">
        <v>135</v>
      </c>
      <c r="D50" s="9" t="s">
        <v>38</v>
      </c>
      <c r="E50" s="10" t="s">
        <v>136</v>
      </c>
      <c r="F50" s="11" t="s">
        <v>40</v>
      </c>
      <c r="G50" s="9" t="s">
        <v>17</v>
      </c>
      <c r="H50" s="9" t="s">
        <v>124</v>
      </c>
      <c r="I50" s="9" t="s">
        <v>19</v>
      </c>
      <c r="J50" s="9"/>
    </row>
    <row r="51" ht="39.6" spans="1:10">
      <c r="A51" s="8">
        <f t="shared" si="0"/>
        <v>48</v>
      </c>
      <c r="B51" s="9" t="s">
        <v>137</v>
      </c>
      <c r="C51" s="9" t="s">
        <v>135</v>
      </c>
      <c r="D51" s="9" t="s">
        <v>21</v>
      </c>
      <c r="E51" s="10" t="s">
        <v>138</v>
      </c>
      <c r="F51" s="11" t="s">
        <v>44</v>
      </c>
      <c r="G51" s="9" t="s">
        <v>17</v>
      </c>
      <c r="H51" s="9" t="s">
        <v>124</v>
      </c>
      <c r="I51" s="9" t="s">
        <v>19</v>
      </c>
      <c r="J51" s="9"/>
    </row>
    <row r="52" ht="26.4" spans="1:10">
      <c r="A52" s="8">
        <f t="shared" si="0"/>
        <v>49</v>
      </c>
      <c r="B52" s="9" t="s">
        <v>139</v>
      </c>
      <c r="C52" s="9" t="s">
        <v>140</v>
      </c>
      <c r="D52" s="9" t="s">
        <v>35</v>
      </c>
      <c r="E52" s="10" t="s">
        <v>141</v>
      </c>
      <c r="F52" s="11" t="s">
        <v>65</v>
      </c>
      <c r="G52" s="9" t="s">
        <v>17</v>
      </c>
      <c r="H52" s="9" t="s">
        <v>124</v>
      </c>
      <c r="I52" s="9" t="s">
        <v>19</v>
      </c>
      <c r="J52" s="9"/>
    </row>
  </sheetData>
  <autoFilter xmlns:etc="http://www.wps.cn/officeDocument/2017/etCustomData" ref="A3:E52" etc:filterBottomFollowUsedRange="0">
    <extLst/>
  </autoFilter>
  <dataValidations count="4">
    <dataValidation type="list" allowBlank="1" showInputMessage="1" showErrorMessage="1" sqref="H4">
      <formula1>"iter1, iter2, iter3, iter4"</formula1>
    </dataValidation>
    <dataValidation type="list" allowBlank="1" showInputMessage="1" showErrorMessage="1" sqref="G4:G7">
      <formula1>"To Do, Doing, Done, Updated"</formula1>
    </dataValidation>
    <dataValidation type="list" allowBlank="1" showInputMessage="1" showErrorMessage="1" sqref="H5:H7">
      <formula1>"iter2, iter3, iter4, iter5"</formula1>
    </dataValidation>
    <dataValidation type="list" allowBlank="1" showInputMessage="1" showErrorMessage="1" sqref="I4:I7">
      <formula1>"none, iter2, iter3, iter4"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1:I13"/>
  <sheetViews>
    <sheetView workbookViewId="0">
      <pane ySplit="5" topLeftCell="A6" activePane="bottomLeft" state="frozen"/>
      <selection/>
      <selection pane="bottomLeft" activeCell="A2" sqref="A2"/>
    </sheetView>
  </sheetViews>
  <sheetFormatPr defaultColWidth="10.7777777777778" defaultRowHeight="13.2"/>
  <cols>
    <col min="1" max="1" width="3.33333333333333" style="1" customWidth="1"/>
    <col min="2" max="2" width="22.6666666666667" style="2" customWidth="1"/>
    <col min="3" max="3" width="14.7777777777778" style="2" customWidth="1"/>
    <col min="4" max="4" width="38.4444444444444" style="2" customWidth="1"/>
    <col min="5" max="5" width="9" style="2" customWidth="1"/>
    <col min="6" max="6" width="10.3333333333333" style="2" customWidth="1"/>
    <col min="7" max="7" width="6" style="2" customWidth="1"/>
    <col min="8" max="8" width="6.66666666666667" style="2" customWidth="1"/>
    <col min="9" max="9" width="49.6666666666667" style="2" customWidth="1"/>
    <col min="10" max="16384" width="10.7777777777778" style="2" customWidth="1"/>
  </cols>
  <sheetData>
    <row r="1" ht="17.4" customHeight="1" spans="1:9">
      <c r="A1" s="3" t="s">
        <v>142</v>
      </c>
    </row>
    <row r="2" spans="1:9">
      <c r="A2" s="4" t="s">
        <v>143</v>
      </c>
    </row>
    <row r="3" spans="1:9">
      <c r="A3" s="4" t="s">
        <v>144</v>
      </c>
    </row>
    <row r="4" spans="1:9">
      <c r="A4" s="4" t="s">
        <v>145</v>
      </c>
    </row>
    <row r="5" spans="1:9">
      <c r="A5" s="5" t="s">
        <v>2</v>
      </c>
      <c r="B5" s="6" t="s">
        <v>146</v>
      </c>
      <c r="C5" s="6" t="s">
        <v>4</v>
      </c>
      <c r="D5" s="6" t="s">
        <v>6</v>
      </c>
      <c r="E5" s="6" t="s">
        <v>7</v>
      </c>
      <c r="F5" s="6" t="s">
        <v>8</v>
      </c>
      <c r="G5" s="7" t="s">
        <v>147</v>
      </c>
      <c r="H5" s="7" t="s">
        <v>148</v>
      </c>
      <c r="I5" s="6" t="s">
        <v>149</v>
      </c>
    </row>
    <row r="6" ht="26.4" customHeight="1" spans="1:9">
      <c r="A6" s="8">
        <f t="shared" ref="A6:A13" si="0">ROW()-5</f>
        <v>1</v>
      </c>
      <c r="B6" s="9" t="s">
        <v>12</v>
      </c>
      <c r="C6" s="9" t="s">
        <v>13</v>
      </c>
      <c r="D6" s="10" t="s">
        <v>15</v>
      </c>
      <c r="E6" s="11" t="s">
        <v>16</v>
      </c>
      <c r="F6" s="9" t="s">
        <v>17</v>
      </c>
      <c r="G6" s="12" t="s">
        <v>150</v>
      </c>
      <c r="H6" s="12" t="s">
        <v>150</v>
      </c>
      <c r="I6" s="9" t="s">
        <v>151</v>
      </c>
    </row>
    <row r="7" ht="26.4" customHeight="1" spans="1:9">
      <c r="A7" s="8">
        <f t="shared" si="0"/>
        <v>2</v>
      </c>
      <c r="B7" s="9" t="s">
        <v>20</v>
      </c>
      <c r="C7" s="9" t="s">
        <v>13</v>
      </c>
      <c r="D7" s="10" t="s">
        <v>22</v>
      </c>
      <c r="E7" s="11" t="s">
        <v>16</v>
      </c>
      <c r="F7" s="9" t="s">
        <v>17</v>
      </c>
      <c r="G7" s="12" t="s">
        <v>150</v>
      </c>
      <c r="H7" s="12" t="s">
        <v>150</v>
      </c>
      <c r="I7" s="9" t="s">
        <v>151</v>
      </c>
    </row>
    <row r="8" ht="26.4" spans="1:9">
      <c r="A8" s="8">
        <f t="shared" si="0"/>
        <v>3</v>
      </c>
      <c r="B8" s="9" t="s">
        <v>23</v>
      </c>
      <c r="C8" s="9" t="s">
        <v>13</v>
      </c>
      <c r="D8" s="10" t="s">
        <v>24</v>
      </c>
      <c r="E8" s="11" t="s">
        <v>16</v>
      </c>
      <c r="F8" s="9" t="s">
        <v>17</v>
      </c>
      <c r="G8" s="12" t="s">
        <v>150</v>
      </c>
      <c r="H8" s="12" t="s">
        <v>150</v>
      </c>
      <c r="I8" s="9" t="s">
        <v>151</v>
      </c>
    </row>
    <row r="9" ht="26.4" spans="1:9">
      <c r="A9" s="8">
        <f t="shared" si="0"/>
        <v>4</v>
      </c>
      <c r="B9" s="9" t="s">
        <v>25</v>
      </c>
      <c r="C9" s="9" t="s">
        <v>13</v>
      </c>
      <c r="D9" s="10" t="s">
        <v>26</v>
      </c>
      <c r="E9" s="11" t="s">
        <v>16</v>
      </c>
      <c r="F9" s="9" t="s">
        <v>17</v>
      </c>
      <c r="G9" s="12" t="s">
        <v>150</v>
      </c>
      <c r="H9" s="12" t="s">
        <v>150</v>
      </c>
      <c r="I9" s="9" t="s">
        <v>151</v>
      </c>
    </row>
    <row r="10" ht="26.4" spans="1:9">
      <c r="A10" s="8">
        <f t="shared" si="0"/>
        <v>5</v>
      </c>
      <c r="B10" s="9" t="s">
        <v>27</v>
      </c>
      <c r="C10" s="9" t="s">
        <v>13</v>
      </c>
      <c r="D10" s="10" t="s">
        <v>28</v>
      </c>
      <c r="E10" s="11" t="s">
        <v>16</v>
      </c>
      <c r="F10" s="9" t="s">
        <v>17</v>
      </c>
      <c r="G10" s="12" t="s">
        <v>150</v>
      </c>
      <c r="H10" s="12" t="s">
        <v>150</v>
      </c>
      <c r="I10" s="9" t="s">
        <v>151</v>
      </c>
    </row>
    <row r="11" ht="26.4" spans="1:9">
      <c r="A11" s="8">
        <f t="shared" si="0"/>
        <v>6</v>
      </c>
      <c r="B11" s="9" t="s">
        <v>45</v>
      </c>
      <c r="C11" s="9" t="s">
        <v>46</v>
      </c>
      <c r="D11" s="10" t="s">
        <v>47</v>
      </c>
      <c r="E11" s="11" t="s">
        <v>31</v>
      </c>
      <c r="F11" s="9" t="s">
        <v>17</v>
      </c>
      <c r="G11" s="12" t="s">
        <v>152</v>
      </c>
      <c r="H11" s="12" t="s">
        <v>153</v>
      </c>
      <c r="I11" s="9" t="s">
        <v>151</v>
      </c>
    </row>
    <row r="12" ht="39.6" spans="1:9">
      <c r="A12" s="8">
        <f t="shared" si="0"/>
        <v>7</v>
      </c>
      <c r="B12" s="9" t="s">
        <v>48</v>
      </c>
      <c r="C12" s="9" t="s">
        <v>46</v>
      </c>
      <c r="D12" s="10" t="s">
        <v>49</v>
      </c>
      <c r="E12" s="11" t="s">
        <v>31</v>
      </c>
      <c r="F12" s="9" t="s">
        <v>17</v>
      </c>
      <c r="G12" s="12" t="s">
        <v>152</v>
      </c>
      <c r="H12" s="12" t="s">
        <v>153</v>
      </c>
      <c r="I12" s="9" t="s">
        <v>151</v>
      </c>
    </row>
    <row r="13" ht="26.4" spans="1:9">
      <c r="A13" s="8">
        <f t="shared" si="0"/>
        <v>8</v>
      </c>
      <c r="B13" s="9" t="s">
        <v>50</v>
      </c>
      <c r="C13" s="9" t="s">
        <v>51</v>
      </c>
      <c r="D13" s="10" t="s">
        <v>52</v>
      </c>
      <c r="E13" s="11" t="s">
        <v>31</v>
      </c>
      <c r="F13" s="9" t="s">
        <v>17</v>
      </c>
      <c r="G13" s="12" t="s">
        <v>152</v>
      </c>
      <c r="H13" s="12" t="s">
        <v>153</v>
      </c>
      <c r="I13" s="9" t="s">
        <v>151</v>
      </c>
    </row>
  </sheetData>
  <dataValidations count="2">
    <dataValidation type="list" allowBlank="1" showInputMessage="1" showErrorMessage="1" sqref="F6:F7">
      <formula1>"To Do, Doing, Done"</formula1>
    </dataValidation>
    <dataValidation type="list" allowBlank="1" showInputMessage="1" showErrorMessage="1" sqref="G6:H7">
      <formula1>"Pending, Doing, Done"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1:I26"/>
  <sheetViews>
    <sheetView workbookViewId="0">
      <pane ySplit="5" topLeftCell="A6" activePane="bottomLeft" state="frozen"/>
      <selection/>
      <selection pane="bottomLeft" activeCell="G16" sqref="G16"/>
    </sheetView>
  </sheetViews>
  <sheetFormatPr defaultColWidth="10.7777777777778" defaultRowHeight="13.2"/>
  <cols>
    <col min="1" max="1" width="3.33333333333333" style="1" customWidth="1"/>
    <col min="2" max="2" width="22.6666666666667" style="2" customWidth="1"/>
    <col min="3" max="3" width="14.7777777777778" style="2" customWidth="1"/>
    <col min="4" max="4" width="38.4444444444444" style="2" customWidth="1"/>
    <col min="5" max="5" width="9" style="2" customWidth="1"/>
    <col min="6" max="6" width="10.3333333333333" style="2" customWidth="1"/>
    <col min="7" max="7" width="6" style="2" customWidth="1"/>
    <col min="8" max="8" width="6.66666666666667" style="2" customWidth="1"/>
    <col min="9" max="9" width="49.6666666666667" style="2" customWidth="1"/>
    <col min="10" max="16384" width="10.7777777777778" style="2" customWidth="1"/>
  </cols>
  <sheetData>
    <row r="1" ht="17.4" customHeight="1" spans="1:9">
      <c r="A1" s="3" t="s">
        <v>154</v>
      </c>
    </row>
    <row r="2" spans="1:9">
      <c r="A2" s="4" t="s">
        <v>143</v>
      </c>
    </row>
    <row r="3" spans="1:9">
      <c r="A3" s="4" t="s">
        <v>144</v>
      </c>
    </row>
    <row r="4" spans="1:9">
      <c r="A4" s="4" t="s">
        <v>145</v>
      </c>
    </row>
    <row r="5" spans="1:9">
      <c r="A5" s="5" t="s">
        <v>2</v>
      </c>
      <c r="B5" s="6" t="s">
        <v>146</v>
      </c>
      <c r="C5" s="6" t="s">
        <v>4</v>
      </c>
      <c r="D5" s="6" t="s">
        <v>6</v>
      </c>
      <c r="E5" s="6" t="s">
        <v>7</v>
      </c>
      <c r="F5" s="6" t="s">
        <v>8</v>
      </c>
      <c r="G5" s="7" t="s">
        <v>147</v>
      </c>
      <c r="H5" s="7" t="s">
        <v>148</v>
      </c>
      <c r="I5" s="6" t="s">
        <v>149</v>
      </c>
    </row>
    <row r="6" ht="26.4" customHeight="1" spans="1:9">
      <c r="A6" s="8">
        <f t="shared" ref="A6:A26" si="0">ROW()-5</f>
        <v>1</v>
      </c>
      <c r="B6" s="9" t="s">
        <v>29</v>
      </c>
      <c r="C6" s="9" t="s">
        <v>13</v>
      </c>
      <c r="D6" s="10" t="s">
        <v>30</v>
      </c>
      <c r="E6" s="11" t="s">
        <v>31</v>
      </c>
      <c r="F6" s="9" t="s">
        <v>17</v>
      </c>
      <c r="G6" s="12" t="s">
        <v>150</v>
      </c>
      <c r="H6" s="12" t="s">
        <v>150</v>
      </c>
      <c r="I6" s="9" t="s">
        <v>151</v>
      </c>
    </row>
    <row r="7" ht="26.4" customHeight="1" spans="1:9">
      <c r="A7" s="8">
        <f t="shared" si="0"/>
        <v>2</v>
      </c>
      <c r="B7" s="9" t="s">
        <v>33</v>
      </c>
      <c r="C7" s="9" t="s">
        <v>34</v>
      </c>
      <c r="D7" s="10" t="s">
        <v>36</v>
      </c>
      <c r="E7" s="11" t="s">
        <v>16</v>
      </c>
      <c r="F7" s="9" t="s">
        <v>17</v>
      </c>
      <c r="G7" s="12" t="s">
        <v>155</v>
      </c>
      <c r="H7" s="12" t="s">
        <v>155</v>
      </c>
      <c r="I7" s="9" t="s">
        <v>151</v>
      </c>
    </row>
    <row r="8" ht="26.4" spans="1:9">
      <c r="A8" s="8">
        <f t="shared" si="0"/>
        <v>3</v>
      </c>
      <c r="B8" s="9" t="s">
        <v>53</v>
      </c>
      <c r="C8" s="9" t="s">
        <v>54</v>
      </c>
      <c r="D8" s="10" t="s">
        <v>55</v>
      </c>
      <c r="E8" s="11" t="s">
        <v>31</v>
      </c>
      <c r="F8" s="9" t="s">
        <v>17</v>
      </c>
      <c r="G8" s="12" t="s">
        <v>152</v>
      </c>
      <c r="H8" s="12" t="s">
        <v>153</v>
      </c>
      <c r="I8" s="9" t="s">
        <v>151</v>
      </c>
    </row>
    <row r="9" ht="26.4" spans="1:9">
      <c r="A9" s="8">
        <f t="shared" si="0"/>
        <v>4</v>
      </c>
      <c r="B9" s="9" t="s">
        <v>56</v>
      </c>
      <c r="C9" s="9" t="s">
        <v>54</v>
      </c>
      <c r="D9" s="10" t="s">
        <v>57</v>
      </c>
      <c r="E9" s="11" t="s">
        <v>31</v>
      </c>
      <c r="F9" s="9" t="s">
        <v>17</v>
      </c>
      <c r="G9" s="12" t="s">
        <v>152</v>
      </c>
      <c r="H9" s="12" t="s">
        <v>153</v>
      </c>
      <c r="I9" s="9" t="s">
        <v>151</v>
      </c>
    </row>
    <row r="10" ht="26.4" spans="1:9">
      <c r="A10" s="8">
        <f t="shared" si="0"/>
        <v>5</v>
      </c>
      <c r="B10" s="9" t="s">
        <v>58</v>
      </c>
      <c r="C10" s="9" t="s">
        <v>54</v>
      </c>
      <c r="D10" s="10" t="s">
        <v>59</v>
      </c>
      <c r="E10" s="11" t="s">
        <v>31</v>
      </c>
      <c r="F10" s="9" t="s">
        <v>17</v>
      </c>
      <c r="G10" s="12" t="s">
        <v>152</v>
      </c>
      <c r="H10" s="12" t="s">
        <v>153</v>
      </c>
      <c r="I10" s="9" t="s">
        <v>151</v>
      </c>
    </row>
    <row r="11" ht="26.4" spans="1:9">
      <c r="A11" s="8">
        <f t="shared" si="0"/>
        <v>6</v>
      </c>
      <c r="B11" s="9" t="s">
        <v>60</v>
      </c>
      <c r="C11" s="9" t="s">
        <v>54</v>
      </c>
      <c r="D11" s="10" t="s">
        <v>61</v>
      </c>
      <c r="E11" s="11" t="s">
        <v>31</v>
      </c>
      <c r="F11" s="9" t="s">
        <v>17</v>
      </c>
      <c r="G11" s="12" t="s">
        <v>152</v>
      </c>
      <c r="H11" s="12" t="s">
        <v>153</v>
      </c>
      <c r="I11" s="9" t="s">
        <v>151</v>
      </c>
    </row>
    <row r="12" ht="26.4" spans="1:9">
      <c r="A12" s="8">
        <f t="shared" si="0"/>
        <v>7</v>
      </c>
      <c r="B12" s="9" t="s">
        <v>62</v>
      </c>
      <c r="C12" s="9" t="s">
        <v>63</v>
      </c>
      <c r="D12" s="10" t="s">
        <v>64</v>
      </c>
      <c r="E12" s="11" t="s">
        <v>65</v>
      </c>
      <c r="F12" s="9" t="s">
        <v>17</v>
      </c>
      <c r="G12" s="12" t="s">
        <v>152</v>
      </c>
      <c r="H12" s="12" t="s">
        <v>153</v>
      </c>
      <c r="I12" s="9" t="s">
        <v>151</v>
      </c>
    </row>
    <row r="13" ht="26.4" spans="1:9">
      <c r="A13" s="8">
        <f t="shared" si="0"/>
        <v>8</v>
      </c>
      <c r="B13" s="9" t="s">
        <v>66</v>
      </c>
      <c r="C13" s="9" t="s">
        <v>63</v>
      </c>
      <c r="D13" s="10" t="s">
        <v>67</v>
      </c>
      <c r="E13" s="11" t="s">
        <v>65</v>
      </c>
      <c r="F13" s="9" t="s">
        <v>17</v>
      </c>
      <c r="G13" s="12" t="s">
        <v>152</v>
      </c>
      <c r="H13" s="12" t="s">
        <v>153</v>
      </c>
      <c r="I13" s="9" t="s">
        <v>151</v>
      </c>
    </row>
    <row r="14" ht="26.4" spans="1:9">
      <c r="A14" s="8">
        <f t="shared" si="0"/>
        <v>9</v>
      </c>
      <c r="B14" s="9" t="s">
        <v>68</v>
      </c>
      <c r="C14" s="9" t="s">
        <v>63</v>
      </c>
      <c r="D14" s="10" t="s">
        <v>69</v>
      </c>
      <c r="E14" s="11" t="s">
        <v>65</v>
      </c>
      <c r="F14" s="9" t="s">
        <v>17</v>
      </c>
      <c r="G14" s="12" t="s">
        <v>152</v>
      </c>
      <c r="H14" s="12" t="s">
        <v>153</v>
      </c>
      <c r="I14" s="9" t="s">
        <v>151</v>
      </c>
    </row>
    <row r="15" ht="26.4" spans="1:9">
      <c r="A15" s="8">
        <f t="shared" si="0"/>
        <v>10</v>
      </c>
      <c r="B15" s="9" t="s">
        <v>70</v>
      </c>
      <c r="C15" s="9" t="s">
        <v>63</v>
      </c>
      <c r="D15" s="10" t="s">
        <v>71</v>
      </c>
      <c r="E15" s="11" t="s">
        <v>65</v>
      </c>
      <c r="F15" s="9" t="s">
        <v>17</v>
      </c>
      <c r="G15" s="12" t="s">
        <v>152</v>
      </c>
      <c r="H15" s="12" t="s">
        <v>153</v>
      </c>
      <c r="I15" s="9" t="s">
        <v>151</v>
      </c>
    </row>
    <row r="16" ht="26.4" spans="1:9">
      <c r="A16" s="8">
        <f t="shared" si="0"/>
        <v>11</v>
      </c>
      <c r="B16" s="9" t="s">
        <v>72</v>
      </c>
      <c r="C16" s="9" t="s">
        <v>73</v>
      </c>
      <c r="D16" s="10" t="s">
        <v>74</v>
      </c>
      <c r="E16" s="11" t="s">
        <v>65</v>
      </c>
      <c r="F16" s="9" t="s">
        <v>17</v>
      </c>
      <c r="G16" s="12" t="s">
        <v>152</v>
      </c>
      <c r="H16" s="12" t="s">
        <v>153</v>
      </c>
      <c r="I16" s="9" t="s">
        <v>151</v>
      </c>
    </row>
    <row r="17" ht="26.4" spans="1:9">
      <c r="A17" s="8">
        <f t="shared" si="0"/>
        <v>12</v>
      </c>
      <c r="B17" s="9" t="s">
        <v>75</v>
      </c>
      <c r="C17" s="9" t="s">
        <v>73</v>
      </c>
      <c r="D17" s="10" t="s">
        <v>76</v>
      </c>
      <c r="E17" s="11" t="s">
        <v>65</v>
      </c>
      <c r="F17" s="9" t="s">
        <v>17</v>
      </c>
      <c r="G17" s="12" t="s">
        <v>152</v>
      </c>
      <c r="H17" s="12" t="s">
        <v>153</v>
      </c>
      <c r="I17" s="9" t="s">
        <v>151</v>
      </c>
    </row>
    <row r="18" ht="26.4" spans="1:9">
      <c r="A18" s="8">
        <f t="shared" si="0"/>
        <v>13</v>
      </c>
      <c r="B18" s="9" t="s">
        <v>77</v>
      </c>
      <c r="C18" s="9" t="s">
        <v>73</v>
      </c>
      <c r="D18" s="10" t="s">
        <v>78</v>
      </c>
      <c r="E18" s="11" t="s">
        <v>65</v>
      </c>
      <c r="F18" s="9" t="s">
        <v>17</v>
      </c>
      <c r="G18" s="12" t="s">
        <v>152</v>
      </c>
      <c r="H18" s="12" t="s">
        <v>153</v>
      </c>
      <c r="I18" s="9" t="s">
        <v>151</v>
      </c>
    </row>
    <row r="19" ht="26.4" spans="1:9">
      <c r="A19" s="8">
        <f t="shared" si="0"/>
        <v>14</v>
      </c>
      <c r="B19" s="9" t="s">
        <v>79</v>
      </c>
      <c r="C19" s="9" t="s">
        <v>73</v>
      </c>
      <c r="D19" s="10" t="s">
        <v>80</v>
      </c>
      <c r="E19" s="11" t="s">
        <v>65</v>
      </c>
      <c r="F19" s="9" t="s">
        <v>17</v>
      </c>
      <c r="G19" s="12" t="s">
        <v>152</v>
      </c>
      <c r="H19" s="12" t="s">
        <v>153</v>
      </c>
      <c r="I19" s="9" t="s">
        <v>151</v>
      </c>
    </row>
    <row r="20" ht="39.6" spans="1:9">
      <c r="A20" s="8">
        <f t="shared" si="0"/>
        <v>15</v>
      </c>
      <c r="B20" s="9" t="s">
        <v>81</v>
      </c>
      <c r="C20" s="9" t="s">
        <v>82</v>
      </c>
      <c r="D20" s="10" t="s">
        <v>83</v>
      </c>
      <c r="E20" s="11" t="s">
        <v>40</v>
      </c>
      <c r="F20" s="9" t="s">
        <v>17</v>
      </c>
      <c r="G20" s="12" t="s">
        <v>152</v>
      </c>
      <c r="H20" s="12" t="s">
        <v>153</v>
      </c>
      <c r="I20" s="9" t="s">
        <v>151</v>
      </c>
    </row>
    <row r="21" ht="39.6" spans="1:9">
      <c r="A21" s="8">
        <f t="shared" si="0"/>
        <v>16</v>
      </c>
      <c r="B21" s="9" t="s">
        <v>84</v>
      </c>
      <c r="C21" s="9" t="s">
        <v>82</v>
      </c>
      <c r="D21" s="10" t="s">
        <v>85</v>
      </c>
      <c r="E21" s="11" t="s">
        <v>40</v>
      </c>
      <c r="F21" s="9" t="s">
        <v>17</v>
      </c>
      <c r="G21" s="12" t="s">
        <v>152</v>
      </c>
      <c r="H21" s="12" t="s">
        <v>153</v>
      </c>
      <c r="I21" s="9" t="s">
        <v>151</v>
      </c>
    </row>
    <row r="22" ht="39.6" spans="1:9">
      <c r="A22" s="8">
        <f t="shared" si="0"/>
        <v>17</v>
      </c>
      <c r="B22" s="9" t="s">
        <v>86</v>
      </c>
      <c r="C22" s="9" t="s">
        <v>82</v>
      </c>
      <c r="D22" s="10" t="s">
        <v>87</v>
      </c>
      <c r="E22" s="11" t="s">
        <v>40</v>
      </c>
      <c r="F22" s="9" t="s">
        <v>17</v>
      </c>
      <c r="G22" s="12" t="s">
        <v>152</v>
      </c>
      <c r="H22" s="12" t="s">
        <v>153</v>
      </c>
      <c r="I22" s="9" t="s">
        <v>151</v>
      </c>
    </row>
    <row r="23" ht="39.6" spans="1:9">
      <c r="A23" s="8">
        <f t="shared" si="0"/>
        <v>18</v>
      </c>
      <c r="B23" s="9" t="s">
        <v>88</v>
      </c>
      <c r="C23" s="9" t="s">
        <v>89</v>
      </c>
      <c r="D23" s="10" t="s">
        <v>90</v>
      </c>
      <c r="E23" s="11" t="s">
        <v>44</v>
      </c>
      <c r="F23" s="9" t="s">
        <v>17</v>
      </c>
      <c r="G23" s="12" t="s">
        <v>156</v>
      </c>
      <c r="H23" s="12" t="s">
        <v>156</v>
      </c>
      <c r="I23" s="9" t="s">
        <v>151</v>
      </c>
    </row>
    <row r="24" ht="39.6" spans="1:9">
      <c r="A24" s="8">
        <f t="shared" si="0"/>
        <v>19</v>
      </c>
      <c r="B24" s="9" t="s">
        <v>91</v>
      </c>
      <c r="C24" s="9" t="s">
        <v>89</v>
      </c>
      <c r="D24" s="10" t="s">
        <v>92</v>
      </c>
      <c r="E24" s="11" t="s">
        <v>44</v>
      </c>
      <c r="F24" s="9" t="s">
        <v>17</v>
      </c>
      <c r="G24" s="12" t="s">
        <v>156</v>
      </c>
      <c r="H24" s="12" t="s">
        <v>156</v>
      </c>
      <c r="I24" s="9" t="s">
        <v>151</v>
      </c>
    </row>
    <row r="25" ht="39.6" spans="1:9">
      <c r="A25" s="8">
        <f t="shared" si="0"/>
        <v>20</v>
      </c>
      <c r="B25" s="9" t="s">
        <v>93</v>
      </c>
      <c r="C25" s="9" t="s">
        <v>89</v>
      </c>
      <c r="D25" s="10" t="s">
        <v>94</v>
      </c>
      <c r="E25" s="11" t="s">
        <v>44</v>
      </c>
      <c r="F25" s="9" t="s">
        <v>17</v>
      </c>
      <c r="G25" s="12" t="s">
        <v>156</v>
      </c>
      <c r="H25" s="12" t="s">
        <v>156</v>
      </c>
      <c r="I25" s="9" t="s">
        <v>151</v>
      </c>
    </row>
    <row r="26" ht="39.6" spans="1:9">
      <c r="A26" s="8">
        <f t="shared" si="0"/>
        <v>21</v>
      </c>
      <c r="B26" s="9" t="s">
        <v>95</v>
      </c>
      <c r="C26" s="9" t="s">
        <v>89</v>
      </c>
      <c r="D26" s="10" t="s">
        <v>96</v>
      </c>
      <c r="E26" s="11" t="s">
        <v>44</v>
      </c>
      <c r="F26" s="9" t="s">
        <v>17</v>
      </c>
      <c r="G26" s="12" t="s">
        <v>156</v>
      </c>
      <c r="H26" s="12" t="s">
        <v>156</v>
      </c>
      <c r="I26" s="9" t="s">
        <v>151</v>
      </c>
    </row>
  </sheetData>
  <dataValidations count="2">
    <dataValidation type="list" allowBlank="1" showInputMessage="1" showErrorMessage="1" sqref="F6:F7">
      <formula1>"To Do, Doing, Done"</formula1>
    </dataValidation>
    <dataValidation type="list" allowBlank="1" showInputMessage="1" showErrorMessage="1" sqref="G6:H7">
      <formula1>"Pending, Doing, Done"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1:I17"/>
  <sheetViews>
    <sheetView workbookViewId="0">
      <pane ySplit="5" topLeftCell="A6" activePane="bottomLeft" state="frozen"/>
      <selection/>
      <selection pane="bottomLeft" activeCell="A2" sqref="A2"/>
    </sheetView>
  </sheetViews>
  <sheetFormatPr defaultColWidth="10.7777777777778" defaultRowHeight="13.2"/>
  <cols>
    <col min="1" max="1" width="3.33333333333333" style="1" customWidth="1"/>
    <col min="2" max="2" width="22.6666666666667" style="2" customWidth="1"/>
    <col min="3" max="3" width="14.7777777777778" style="2" customWidth="1"/>
    <col min="4" max="4" width="38.4444444444444" style="2" customWidth="1"/>
    <col min="5" max="5" width="9" style="2" customWidth="1"/>
    <col min="6" max="6" width="10.3333333333333" style="2" customWidth="1"/>
    <col min="7" max="7" width="6" style="2" customWidth="1"/>
    <col min="8" max="8" width="6.66666666666667" style="2" customWidth="1"/>
    <col min="9" max="9" width="49.6666666666667" style="2" customWidth="1"/>
    <col min="10" max="16384" width="10.7777777777778" style="2" customWidth="1"/>
  </cols>
  <sheetData>
    <row r="1" ht="17.4" customHeight="1" spans="1:9">
      <c r="A1" s="3" t="s">
        <v>157</v>
      </c>
    </row>
    <row r="2" spans="1:9">
      <c r="A2" s="4" t="s">
        <v>143</v>
      </c>
    </row>
    <row r="3" spans="1:9">
      <c r="A3" s="4" t="s">
        <v>144</v>
      </c>
    </row>
    <row r="4" spans="1:9">
      <c r="A4" s="4" t="s">
        <v>145</v>
      </c>
    </row>
    <row r="5" spans="1:9">
      <c r="A5" s="5" t="s">
        <v>2</v>
      </c>
      <c r="B5" s="6" t="s">
        <v>146</v>
      </c>
      <c r="C5" s="6" t="s">
        <v>4</v>
      </c>
      <c r="D5" s="6" t="s">
        <v>6</v>
      </c>
      <c r="E5" s="6" t="s">
        <v>7</v>
      </c>
      <c r="F5" s="6" t="s">
        <v>8</v>
      </c>
      <c r="G5" s="7" t="s">
        <v>147</v>
      </c>
      <c r="H5" s="7" t="s">
        <v>148</v>
      </c>
      <c r="I5" s="6" t="s">
        <v>149</v>
      </c>
    </row>
    <row r="6" ht="26.4" customHeight="1" spans="1:9">
      <c r="A6" s="8">
        <f t="shared" ref="A6:A17" si="0">ROW()-5</f>
        <v>1</v>
      </c>
      <c r="B6" s="9" t="s">
        <v>37</v>
      </c>
      <c r="C6" s="9" t="s">
        <v>34</v>
      </c>
      <c r="D6" s="10" t="s">
        <v>39</v>
      </c>
      <c r="E6" s="11" t="s">
        <v>40</v>
      </c>
      <c r="F6" s="9" t="s">
        <v>17</v>
      </c>
      <c r="G6" s="12" t="s">
        <v>155</v>
      </c>
      <c r="H6" s="12" t="s">
        <v>155</v>
      </c>
      <c r="I6" s="9" t="s">
        <v>151</v>
      </c>
    </row>
    <row r="7" ht="26.4" customHeight="1" spans="1:9">
      <c r="A7" s="8">
        <f t="shared" si="0"/>
        <v>2</v>
      </c>
      <c r="B7" s="9" t="s">
        <v>42</v>
      </c>
      <c r="C7" s="9" t="s">
        <v>34</v>
      </c>
      <c r="D7" s="10" t="s">
        <v>43</v>
      </c>
      <c r="E7" s="11" t="s">
        <v>44</v>
      </c>
      <c r="F7" s="9" t="s">
        <v>17</v>
      </c>
      <c r="G7" s="12" t="s">
        <v>155</v>
      </c>
      <c r="H7" s="12" t="s">
        <v>155</v>
      </c>
      <c r="I7" s="9" t="s">
        <v>151</v>
      </c>
    </row>
    <row r="8" ht="39.6" spans="1:9">
      <c r="A8" s="8">
        <f t="shared" si="0"/>
        <v>3</v>
      </c>
      <c r="B8" s="9" t="s">
        <v>97</v>
      </c>
      <c r="C8" s="9" t="s">
        <v>98</v>
      </c>
      <c r="D8" s="10" t="s">
        <v>99</v>
      </c>
      <c r="E8" s="11" t="s">
        <v>40</v>
      </c>
      <c r="F8" s="9" t="s">
        <v>17</v>
      </c>
      <c r="G8" s="12" t="s">
        <v>153</v>
      </c>
      <c r="H8" s="12" t="s">
        <v>152</v>
      </c>
      <c r="I8" s="9" t="s">
        <v>151</v>
      </c>
    </row>
    <row r="9" ht="39.6" spans="1:9">
      <c r="A9" s="8">
        <f t="shared" si="0"/>
        <v>4</v>
      </c>
      <c r="B9" s="9" t="s">
        <v>100</v>
      </c>
      <c r="C9" s="9" t="s">
        <v>98</v>
      </c>
      <c r="D9" s="10" t="s">
        <v>101</v>
      </c>
      <c r="E9" s="11" t="s">
        <v>40</v>
      </c>
      <c r="F9" s="9" t="s">
        <v>17</v>
      </c>
      <c r="G9" s="12" t="s">
        <v>153</v>
      </c>
      <c r="H9" s="12" t="s">
        <v>152</v>
      </c>
      <c r="I9" s="9" t="s">
        <v>151</v>
      </c>
    </row>
    <row r="10" ht="39.6" spans="1:9">
      <c r="A10" s="8">
        <f t="shared" si="0"/>
        <v>5</v>
      </c>
      <c r="B10" s="9" t="s">
        <v>102</v>
      </c>
      <c r="C10" s="9" t="s">
        <v>98</v>
      </c>
      <c r="D10" s="10" t="s">
        <v>103</v>
      </c>
      <c r="E10" s="11" t="s">
        <v>40</v>
      </c>
      <c r="F10" s="9" t="s">
        <v>17</v>
      </c>
      <c r="G10" s="12" t="s">
        <v>153</v>
      </c>
      <c r="H10" s="12" t="s">
        <v>152</v>
      </c>
      <c r="I10" s="9" t="s">
        <v>151</v>
      </c>
    </row>
    <row r="11" ht="39.6" spans="1:9">
      <c r="A11" s="8">
        <f t="shared" si="0"/>
        <v>6</v>
      </c>
      <c r="B11" s="9" t="s">
        <v>104</v>
      </c>
      <c r="C11" s="9" t="s">
        <v>98</v>
      </c>
      <c r="D11" s="10" t="s">
        <v>105</v>
      </c>
      <c r="E11" s="11" t="s">
        <v>40</v>
      </c>
      <c r="F11" s="9" t="s">
        <v>17</v>
      </c>
      <c r="G11" s="12" t="s">
        <v>153</v>
      </c>
      <c r="H11" s="12" t="s">
        <v>152</v>
      </c>
      <c r="I11" s="9" t="s">
        <v>151</v>
      </c>
    </row>
    <row r="12" ht="39.6" spans="1:9">
      <c r="A12" s="8">
        <f t="shared" si="0"/>
        <v>7</v>
      </c>
      <c r="B12" s="9" t="s">
        <v>106</v>
      </c>
      <c r="C12" s="9" t="s">
        <v>98</v>
      </c>
      <c r="D12" s="10" t="s">
        <v>107</v>
      </c>
      <c r="E12" s="11" t="s">
        <v>40</v>
      </c>
      <c r="F12" s="9" t="s">
        <v>17</v>
      </c>
      <c r="G12" s="12" t="s">
        <v>153</v>
      </c>
      <c r="H12" s="12" t="s">
        <v>152</v>
      </c>
      <c r="I12" s="9" t="s">
        <v>151</v>
      </c>
    </row>
    <row r="13" ht="39.6" spans="1:9">
      <c r="A13" s="8">
        <f t="shared" si="0"/>
        <v>8</v>
      </c>
      <c r="B13" s="9" t="s">
        <v>108</v>
      </c>
      <c r="C13" s="9" t="s">
        <v>109</v>
      </c>
      <c r="D13" s="10" t="s">
        <v>110</v>
      </c>
      <c r="E13" s="11" t="s">
        <v>44</v>
      </c>
      <c r="F13" s="9" t="s">
        <v>17</v>
      </c>
      <c r="G13" s="12" t="s">
        <v>153</v>
      </c>
      <c r="H13" s="12" t="s">
        <v>152</v>
      </c>
      <c r="I13" s="9" t="s">
        <v>151</v>
      </c>
    </row>
    <row r="14" ht="39.6" spans="1:9">
      <c r="A14" s="8">
        <f t="shared" si="0"/>
        <v>9</v>
      </c>
      <c r="B14" s="9" t="s">
        <v>111</v>
      </c>
      <c r="C14" s="9" t="s">
        <v>109</v>
      </c>
      <c r="D14" s="10" t="s">
        <v>112</v>
      </c>
      <c r="E14" s="11" t="s">
        <v>44</v>
      </c>
      <c r="F14" s="9" t="s">
        <v>17</v>
      </c>
      <c r="G14" s="12" t="s">
        <v>153</v>
      </c>
      <c r="H14" s="12" t="s">
        <v>152</v>
      </c>
      <c r="I14" s="9" t="s">
        <v>151</v>
      </c>
    </row>
    <row r="15" ht="39.6" spans="1:9">
      <c r="A15" s="8">
        <f t="shared" si="0"/>
        <v>10</v>
      </c>
      <c r="B15" s="9" t="s">
        <v>113</v>
      </c>
      <c r="C15" s="9" t="s">
        <v>114</v>
      </c>
      <c r="D15" s="10" t="s">
        <v>115</v>
      </c>
      <c r="E15" s="11" t="s">
        <v>65</v>
      </c>
      <c r="F15" s="9" t="s">
        <v>17</v>
      </c>
      <c r="G15" s="12" t="s">
        <v>158</v>
      </c>
      <c r="H15" s="12" t="s">
        <v>155</v>
      </c>
      <c r="I15" s="9" t="s">
        <v>151</v>
      </c>
    </row>
    <row r="16" ht="26.4" spans="1:9">
      <c r="A16" s="8">
        <f t="shared" si="0"/>
        <v>11</v>
      </c>
      <c r="B16" s="9" t="s">
        <v>116</v>
      </c>
      <c r="C16" s="9" t="s">
        <v>117</v>
      </c>
      <c r="D16" s="10" t="s">
        <v>118</v>
      </c>
      <c r="E16" s="11" t="s">
        <v>65</v>
      </c>
      <c r="F16" s="9" t="s">
        <v>17</v>
      </c>
      <c r="G16" s="12" t="s">
        <v>158</v>
      </c>
      <c r="H16" s="12" t="s">
        <v>155</v>
      </c>
      <c r="I16" s="9" t="s">
        <v>151</v>
      </c>
    </row>
    <row r="17" ht="26.4" spans="1:9">
      <c r="A17" s="8">
        <f t="shared" si="0"/>
        <v>12</v>
      </c>
      <c r="B17" s="9" t="s">
        <v>119</v>
      </c>
      <c r="C17" s="9" t="s">
        <v>117</v>
      </c>
      <c r="D17" s="10" t="s">
        <v>120</v>
      </c>
      <c r="E17" s="11" t="s">
        <v>65</v>
      </c>
      <c r="F17" s="9" t="s">
        <v>17</v>
      </c>
      <c r="G17" s="12" t="s">
        <v>158</v>
      </c>
      <c r="H17" s="12" t="s">
        <v>155</v>
      </c>
      <c r="I17" s="9" t="s">
        <v>151</v>
      </c>
    </row>
  </sheetData>
  <dataValidations count="2">
    <dataValidation type="list" allowBlank="1" showInputMessage="1" showErrorMessage="1" sqref="F6:F7">
      <formula1>"To Do, Doing, Done"</formula1>
    </dataValidation>
    <dataValidation type="list" allowBlank="1" showInputMessage="1" showErrorMessage="1" sqref="G6:H7">
      <formula1>"Pending, Doing, Done"</formula1>
    </dataValidation>
  </dataValidation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1:I13"/>
  <sheetViews>
    <sheetView workbookViewId="0">
      <pane ySplit="5" topLeftCell="A6" activePane="bottomLeft" state="frozen"/>
      <selection/>
      <selection pane="bottomLeft" activeCell="A2" sqref="A2"/>
    </sheetView>
  </sheetViews>
  <sheetFormatPr defaultColWidth="10.7777777777778" defaultRowHeight="13.2"/>
  <cols>
    <col min="1" max="1" width="3.33333333333333" style="1" customWidth="1"/>
    <col min="2" max="2" width="22.6666666666667" style="2" customWidth="1"/>
    <col min="3" max="3" width="14.7777777777778" style="2" customWidth="1"/>
    <col min="4" max="4" width="38.4444444444444" style="2" customWidth="1"/>
    <col min="5" max="5" width="9" style="2" customWidth="1"/>
    <col min="6" max="6" width="10.3333333333333" style="2" customWidth="1"/>
    <col min="7" max="7" width="6" style="2" customWidth="1"/>
    <col min="8" max="8" width="6.66666666666667" style="2" customWidth="1"/>
    <col min="9" max="9" width="49.6666666666667" style="2" customWidth="1"/>
    <col min="10" max="16384" width="10.7777777777778" style="2" customWidth="1"/>
  </cols>
  <sheetData>
    <row r="1" ht="17.4" customHeight="1" spans="1:9">
      <c r="A1" s="3" t="s">
        <v>159</v>
      </c>
    </row>
    <row r="2" spans="1:9">
      <c r="A2" s="4" t="s">
        <v>143</v>
      </c>
    </row>
    <row r="3" spans="1:9">
      <c r="A3" s="4" t="s">
        <v>144</v>
      </c>
    </row>
    <row r="4" spans="1:9">
      <c r="A4" s="4" t="s">
        <v>145</v>
      </c>
    </row>
    <row r="5" spans="1:9">
      <c r="A5" s="5" t="s">
        <v>2</v>
      </c>
      <c r="B5" s="6" t="s">
        <v>146</v>
      </c>
      <c r="C5" s="6" t="s">
        <v>4</v>
      </c>
      <c r="D5" s="6" t="s">
        <v>6</v>
      </c>
      <c r="E5" s="6" t="s">
        <v>7</v>
      </c>
      <c r="F5" s="6" t="s">
        <v>8</v>
      </c>
      <c r="G5" s="7" t="s">
        <v>147</v>
      </c>
      <c r="H5" s="7" t="s">
        <v>148</v>
      </c>
      <c r="I5" s="6" t="s">
        <v>149</v>
      </c>
    </row>
    <row r="6" ht="26.4" customHeight="1" spans="1:9">
      <c r="A6" s="8">
        <f t="shared" ref="A6:A13" si="0">ROW()-5</f>
        <v>1</v>
      </c>
      <c r="B6" s="9" t="s">
        <v>121</v>
      </c>
      <c r="C6" s="9" t="s">
        <v>122</v>
      </c>
      <c r="D6" s="10" t="s">
        <v>123</v>
      </c>
      <c r="E6" s="11" t="s">
        <v>16</v>
      </c>
      <c r="F6" s="9" t="s">
        <v>17</v>
      </c>
      <c r="G6" s="12" t="s">
        <v>158</v>
      </c>
      <c r="H6" s="12" t="s">
        <v>155</v>
      </c>
      <c r="I6" s="9" t="s">
        <v>151</v>
      </c>
    </row>
    <row r="7" ht="26.4" customHeight="1" spans="1:9">
      <c r="A7" s="8">
        <f t="shared" si="0"/>
        <v>2</v>
      </c>
      <c r="B7" s="9" t="s">
        <v>125</v>
      </c>
      <c r="C7" s="9" t="s">
        <v>122</v>
      </c>
      <c r="D7" s="10" t="s">
        <v>126</v>
      </c>
      <c r="E7" s="11" t="s">
        <v>16</v>
      </c>
      <c r="F7" s="9" t="s">
        <v>17</v>
      </c>
      <c r="G7" s="12" t="s">
        <v>158</v>
      </c>
      <c r="H7" s="12" t="s">
        <v>155</v>
      </c>
      <c r="I7" s="9" t="s">
        <v>151</v>
      </c>
    </row>
    <row r="8" ht="26.4" spans="1:9">
      <c r="A8" s="8">
        <f t="shared" si="0"/>
        <v>3</v>
      </c>
      <c r="B8" s="9" t="s">
        <v>127</v>
      </c>
      <c r="C8" s="9" t="s">
        <v>122</v>
      </c>
      <c r="D8" s="10" t="s">
        <v>128</v>
      </c>
      <c r="E8" s="11" t="s">
        <v>16</v>
      </c>
      <c r="F8" s="9" t="s">
        <v>17</v>
      </c>
      <c r="G8" s="12" t="s">
        <v>158</v>
      </c>
      <c r="H8" s="12" t="s">
        <v>155</v>
      </c>
      <c r="I8" s="9" t="s">
        <v>151</v>
      </c>
    </row>
    <row r="9" ht="26.4" spans="1:9">
      <c r="A9" s="8">
        <f t="shared" si="0"/>
        <v>4</v>
      </c>
      <c r="B9" s="9" t="s">
        <v>129</v>
      </c>
      <c r="C9" s="9" t="s">
        <v>130</v>
      </c>
      <c r="D9" s="10" t="s">
        <v>131</v>
      </c>
      <c r="E9" s="11" t="s">
        <v>31</v>
      </c>
      <c r="F9" s="9" t="s">
        <v>17</v>
      </c>
      <c r="G9" s="12" t="s">
        <v>158</v>
      </c>
      <c r="H9" s="12" t="s">
        <v>155</v>
      </c>
      <c r="I9" s="9" t="s">
        <v>151</v>
      </c>
    </row>
    <row r="10" ht="26.4" spans="1:9">
      <c r="A10" s="8">
        <f t="shared" si="0"/>
        <v>5</v>
      </c>
      <c r="B10" s="9" t="s">
        <v>132</v>
      </c>
      <c r="C10" s="9" t="s">
        <v>130</v>
      </c>
      <c r="D10" s="10" t="s">
        <v>133</v>
      </c>
      <c r="E10" s="11" t="s">
        <v>31</v>
      </c>
      <c r="F10" s="9" t="s">
        <v>17</v>
      </c>
      <c r="G10" s="12" t="s">
        <v>158</v>
      </c>
      <c r="H10" s="12" t="s">
        <v>155</v>
      </c>
      <c r="I10" s="9" t="s">
        <v>151</v>
      </c>
    </row>
    <row r="11" ht="39.6" spans="1:9">
      <c r="A11" s="8">
        <f t="shared" si="0"/>
        <v>6</v>
      </c>
      <c r="B11" s="9" t="s">
        <v>134</v>
      </c>
      <c r="C11" s="9" t="s">
        <v>135</v>
      </c>
      <c r="D11" s="10" t="s">
        <v>136</v>
      </c>
      <c r="E11" s="11" t="s">
        <v>40</v>
      </c>
      <c r="F11" s="9" t="s">
        <v>17</v>
      </c>
      <c r="G11" s="12" t="s">
        <v>155</v>
      </c>
      <c r="H11" s="12" t="s">
        <v>155</v>
      </c>
      <c r="I11" s="9" t="s">
        <v>151</v>
      </c>
    </row>
    <row r="12" ht="39.6" spans="1:9">
      <c r="A12" s="8">
        <f t="shared" si="0"/>
        <v>7</v>
      </c>
      <c r="B12" s="9" t="s">
        <v>137</v>
      </c>
      <c r="C12" s="9" t="s">
        <v>135</v>
      </c>
      <c r="D12" s="10" t="s">
        <v>138</v>
      </c>
      <c r="E12" s="11" t="s">
        <v>44</v>
      </c>
      <c r="F12" s="9" t="s">
        <v>17</v>
      </c>
      <c r="G12" s="12" t="s">
        <v>155</v>
      </c>
      <c r="H12" s="12" t="s">
        <v>155</v>
      </c>
      <c r="I12" s="9" t="s">
        <v>151</v>
      </c>
    </row>
    <row r="13" ht="26.4" spans="1:9">
      <c r="A13" s="8">
        <f t="shared" si="0"/>
        <v>8</v>
      </c>
      <c r="B13" s="9" t="s">
        <v>139</v>
      </c>
      <c r="C13" s="9" t="s">
        <v>140</v>
      </c>
      <c r="D13" s="10" t="s">
        <v>141</v>
      </c>
      <c r="E13" s="11" t="s">
        <v>65</v>
      </c>
      <c r="F13" s="9" t="s">
        <v>17</v>
      </c>
      <c r="G13" s="12" t="s">
        <v>155</v>
      </c>
      <c r="H13" s="12" t="s">
        <v>155</v>
      </c>
      <c r="I13" s="9" t="s">
        <v>151</v>
      </c>
    </row>
  </sheetData>
  <dataValidations count="2">
    <dataValidation type="list" allowBlank="1" showInputMessage="1" showErrorMessage="1" sqref="F6:F7">
      <formula1>"To Do, Doing, Done"</formula1>
    </dataValidation>
    <dataValidation type="list" allowBlank="1" showInputMessage="1" showErrorMessage="1" sqref="G6:H7">
      <formula1>"Pending, Doing, Done"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</vt:lpstr>
      <vt:lpstr>Iter1</vt:lpstr>
      <vt:lpstr>Iter2</vt:lpstr>
      <vt:lpstr>Iter3</vt:lpstr>
      <vt:lpstr>Iter4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Quốc Huy Trần</cp:lastModifiedBy>
  <dcterms:created xsi:type="dcterms:W3CDTF">2021-07-20T01:09:00Z</dcterms:created>
  <dcterms:modified xsi:type="dcterms:W3CDTF">2026-07-04T14:37:36Z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A1F67C0884CC4CCA98F47C2E62E579F1_12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